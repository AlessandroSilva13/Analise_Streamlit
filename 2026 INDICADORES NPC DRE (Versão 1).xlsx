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PC (2)" sheetId="1" r:id="rId5"/>
    <sheet state="hidden" name="NPC" sheetId="2" r:id="rId6"/>
    <sheet state="hidden" name="Indicadores Planilhas" sheetId="3" r:id="rId7"/>
    <sheet state="hidden" name="Indicadores Financeiro" sheetId="4" r:id="rId8"/>
    <sheet state="visible" name="OKRs Consolidados" sheetId="5" r:id="rId9"/>
    <sheet state="visible" name="Página1" sheetId="6" r:id="rId10"/>
    <sheet state="hidden" name="Planilha4" sheetId="7" r:id="rId11"/>
    <sheet state="hidden" name="Planilha3" sheetId="8" r:id="rId12"/>
    <sheet state="hidden" name="ORÇAMENTO 2026 (Organ)" sheetId="9" r:id="rId13"/>
    <sheet state="hidden" name="ORÇAMENTO 2026" sheetId="10" r:id="rId14"/>
    <sheet state="hidden" name="Planilha2" sheetId="11" r:id="rId15"/>
    <sheet state="hidden" name="Análise" sheetId="12" r:id="rId16"/>
    <sheet state="hidden" name="Apoio" sheetId="13" r:id="rId17"/>
    <sheet state="hidden" name="Planilha1" sheetId="14" r:id="rId18"/>
  </sheets>
  <definedNames>
    <definedName hidden="1" localSheetId="11" name="_xlnm._FilterDatabase">'Análise'!$A$1:$P$137</definedName>
  </definedNames>
  <calcPr/>
</workbook>
</file>

<file path=xl/sharedStrings.xml><?xml version="1.0" encoding="utf-8"?>
<sst xmlns="http://schemas.openxmlformats.org/spreadsheetml/2006/main" count="1486" uniqueCount="869">
  <si>
    <r>
      <rPr>
        <rFont val="Arial"/>
        <b/>
        <color theme="1"/>
        <sz val="8.0"/>
      </rPr>
      <t>Conta</t>
    </r>
  </si>
  <si>
    <r>
      <rPr>
        <rFont val="Arial"/>
        <b/>
        <color theme="1"/>
        <sz val="8.0"/>
      </rPr>
      <t>Conta</t>
    </r>
  </si>
  <si>
    <r>
      <rPr>
        <rFont val="Arial"/>
        <b/>
        <color theme="1"/>
        <sz val="8.0"/>
      </rPr>
      <t>Descrição</t>
    </r>
  </si>
  <si>
    <t>NPC</t>
  </si>
  <si>
    <t>Janeiro</t>
  </si>
  <si>
    <r>
      <rPr>
        <rFont val="Arial"/>
        <b/>
        <color theme="1"/>
        <sz val="8.0"/>
      </rPr>
      <t>Descrição</t>
    </r>
  </si>
  <si>
    <t>Fevereiro</t>
  </si>
  <si>
    <t>Março</t>
  </si>
  <si>
    <t> DRE</t>
  </si>
  <si>
    <t>Abril</t>
  </si>
  <si>
    <t>Maio</t>
  </si>
  <si>
    <t>1S 25</t>
  </si>
  <si>
    <t>Junho</t>
  </si>
  <si>
    <t>Indicadores</t>
  </si>
  <si>
    <t>Julho</t>
  </si>
  <si>
    <t>1S 25 Orçado</t>
  </si>
  <si>
    <t>Agosto</t>
  </si>
  <si>
    <t>Δ vs. Orçado</t>
  </si>
  <si>
    <t>Setembro</t>
  </si>
  <si>
    <t>Outubro</t>
  </si>
  <si>
    <t>Novembro</t>
  </si>
  <si>
    <t>Dezembro</t>
  </si>
  <si>
    <t>1TRI 25</t>
  </si>
  <si>
    <t>Formulas</t>
  </si>
  <si>
    <t>2TRI 25</t>
  </si>
  <si>
    <t>QUADRO I – RESULTADO SINTÉTICO</t>
  </si>
  <si>
    <t>3TRI 25</t>
  </si>
  <si>
    <t xml:space="preserve">Indicadores </t>
  </si>
  <si>
    <t>4TRI 25</t>
  </si>
  <si>
    <t>REAL 2025</t>
  </si>
  <si>
    <t>Acumulado</t>
  </si>
  <si>
    <t>Valores</t>
  </si>
  <si>
    <t>Orçado Planejamento</t>
  </si>
  <si>
    <t>ORÇ 2025</t>
  </si>
  <si>
    <t>Diferença</t>
  </si>
  <si>
    <t>DIF. ORÇ.</t>
  </si>
  <si>
    <t>Orçado</t>
  </si>
  <si>
    <t>Orçado Unimed</t>
  </si>
  <si>
    <t>Receita Bruta</t>
  </si>
  <si>
    <t>Observação</t>
  </si>
  <si>
    <r>
      <rPr>
        <rFont val="Arial MT"/>
        <color theme="1"/>
        <sz val="8.0"/>
      </rPr>
      <t>(+)  010</t>
    </r>
  </si>
  <si>
    <r>
      <rPr>
        <rFont val="Arial MT"/>
        <color theme="1"/>
        <sz val="8.0"/>
      </rPr>
      <t>Receita Bruta Operacional</t>
    </r>
  </si>
  <si>
    <t>RECEITA</t>
  </si>
  <si>
    <t>ACUMULADO TRIMESTRE E ANO (GRAFICO DE LINHA)</t>
  </si>
  <si>
    <t>Grafico de linha</t>
  </si>
  <si>
    <r>
      <rPr>
        <rFont val="Arial MT"/>
        <color theme="1"/>
        <sz val="8.0"/>
      </rPr>
      <t>(+)  010</t>
    </r>
  </si>
  <si>
    <r>
      <rPr>
        <rFont val="Arial MT"/>
        <color theme="1"/>
        <sz val="8.0"/>
      </rPr>
      <t>Receita Bruta Operacional</t>
    </r>
  </si>
  <si>
    <t>(-) Impostos Incidentes</t>
  </si>
  <si>
    <t>Bater todas as informações com observações</t>
  </si>
  <si>
    <t>RECEITA OUTROS NEGÓCIOS</t>
  </si>
  <si>
    <t>Soma de Autismo Club e Toyt (Sem resultado operacional) Aporte</t>
  </si>
  <si>
    <t>Impostos e Deduções Receitas</t>
  </si>
  <si>
    <t>Aporte de capital</t>
  </si>
  <si>
    <t>Receita Líquida</t>
  </si>
  <si>
    <t>MARGEM DE BRUTA</t>
  </si>
  <si>
    <t>Lucro bruto/receita liquida</t>
  </si>
  <si>
    <r>
      <rPr>
        <rFont val="Arial MT"/>
        <color theme="1"/>
        <sz val="8.0"/>
      </rPr>
      <t>010.01</t>
    </r>
  </si>
  <si>
    <t>Receita Liquida</t>
  </si>
  <si>
    <r>
      <rPr>
        <rFont val="Arial MT"/>
        <color theme="1"/>
        <sz val="8.0"/>
      </rPr>
      <t>Faturamento Prod. Merc. e Serviços</t>
    </r>
  </si>
  <si>
    <t>Custo</t>
  </si>
  <si>
    <t>MARGEM LUCRO</t>
  </si>
  <si>
    <t>Custos Serviços</t>
  </si>
  <si>
    <t>lucro liquido/receita liquida</t>
  </si>
  <si>
    <t>Despesas Operacionais</t>
  </si>
  <si>
    <r>
      <rPr>
        <rFont val="Arial MT"/>
        <color theme="1"/>
        <sz val="8.0"/>
      </rPr>
      <t>010.01.03</t>
    </r>
  </si>
  <si>
    <r>
      <rPr>
        <rFont val="Arial MT"/>
        <color theme="1"/>
        <sz val="8.0"/>
      </rPr>
      <t>Vendas de Serviços</t>
    </r>
  </si>
  <si>
    <t>Lucro Bruto</t>
  </si>
  <si>
    <r>
      <rPr>
        <rFont val="Arial MT"/>
        <color theme="1"/>
        <sz val="8.0"/>
      </rPr>
      <t>3.01.01.01.01.0006</t>
    </r>
  </si>
  <si>
    <r>
      <rPr>
        <rFont val="Arial MT"/>
        <color theme="1"/>
        <sz val="8.0"/>
      </rPr>
      <t>Receita da Prestação de Serviços - Mercado Interno</t>
    </r>
  </si>
  <si>
    <t>Lucro Operacional</t>
  </si>
  <si>
    <r>
      <rPr>
        <rFont val="Arial MT"/>
        <color theme="1"/>
        <sz val="8.0"/>
      </rPr>
      <t>010.01</t>
    </r>
  </si>
  <si>
    <t>INDICE DE EFICIÊNCIA</t>
  </si>
  <si>
    <r>
      <rPr>
        <rFont val="Arial MT"/>
        <color theme="1"/>
        <sz val="8.0"/>
      </rPr>
      <t>Faturamento Prod. Merc. e Serviços</t>
    </r>
  </si>
  <si>
    <t>Total de despesas/receitas líquidas</t>
  </si>
  <si>
    <t>Custos/Despesas operacionais</t>
  </si>
  <si>
    <r>
      <rPr>
        <rFont val="Arial MT"/>
        <color theme="1"/>
        <sz val="8.0"/>
      </rPr>
      <t>010.01.06</t>
    </r>
  </si>
  <si>
    <r>
      <rPr>
        <rFont val="Arial MT"/>
        <color theme="1"/>
        <sz val="8.0"/>
      </rPr>
      <t>Locação de Bens Móveis e Imóveis</t>
    </r>
  </si>
  <si>
    <t>Outras despesas</t>
  </si>
  <si>
    <t>Res. Antes das Participações e Contrib.</t>
  </si>
  <si>
    <r>
      <rPr>
        <rFont val="Arial MT"/>
        <color theme="1"/>
        <sz val="8.0"/>
      </rPr>
      <t>3.01.01.01.01.0008</t>
    </r>
  </si>
  <si>
    <r>
      <rPr>
        <rFont val="Arial MT"/>
        <color theme="1"/>
        <sz val="8.0"/>
      </rPr>
      <t>Receita de Locação de Bens Móveis e Imóveis</t>
    </r>
  </si>
  <si>
    <t>Rever despesas operacionais</t>
  </si>
  <si>
    <t>Resultado Financeiro</t>
  </si>
  <si>
    <t>LUCRO LÍQUIDO</t>
  </si>
  <si>
    <t>lucro líquido</t>
  </si>
  <si>
    <r>
      <rPr>
        <rFont val="Arial MT"/>
        <color theme="1"/>
        <sz val="8.0"/>
      </rPr>
      <t>(-)  020</t>
    </r>
  </si>
  <si>
    <r>
      <rPr>
        <rFont val="Arial MT"/>
        <color theme="1"/>
        <sz val="8.0"/>
      </rPr>
      <t>010.01.03</t>
    </r>
  </si>
  <si>
    <r>
      <rPr>
        <rFont val="Arial MT"/>
        <color theme="1"/>
        <sz val="8.0"/>
      </rPr>
      <t>Deduções da Receita</t>
    </r>
  </si>
  <si>
    <r>
      <rPr>
        <rFont val="Arial MT"/>
        <color theme="1"/>
        <sz val="8.0"/>
      </rPr>
      <t>Vendas de Serviços</t>
    </r>
  </si>
  <si>
    <t>Amortização Empréstimo</t>
  </si>
  <si>
    <t>Lucro antes de impostos</t>
  </si>
  <si>
    <t>EBITIDA</t>
  </si>
  <si>
    <t>lucro liquido-IRPJ e CSLL- depreciação-resultado financeiro</t>
  </si>
  <si>
    <r>
      <rPr>
        <rFont val="Arial MT"/>
        <color theme="1"/>
        <sz val="8.0"/>
      </rPr>
      <t>020.01</t>
    </r>
  </si>
  <si>
    <t>Impostos (CS+IR)</t>
  </si>
  <si>
    <r>
      <rPr>
        <rFont val="Arial MT"/>
        <color theme="1"/>
        <sz val="8.0"/>
      </rPr>
      <t>Impostos Faturados</t>
    </r>
  </si>
  <si>
    <t>Provisão de Impostos</t>
  </si>
  <si>
    <r>
      <rPr>
        <rFont val="Arial MT"/>
        <color theme="1"/>
        <sz val="8.0"/>
      </rPr>
      <t>020.01.02</t>
    </r>
  </si>
  <si>
    <r>
      <rPr>
        <rFont val="Arial MT"/>
        <color theme="1"/>
        <sz val="8.0"/>
      </rPr>
      <t>ISS</t>
    </r>
  </si>
  <si>
    <t>Lucro Líquido</t>
  </si>
  <si>
    <r>
      <rPr>
        <rFont val="Arial MT"/>
        <color theme="1"/>
        <sz val="8.0"/>
      </rPr>
      <t>3.01.01.01.01.0006</t>
    </r>
  </si>
  <si>
    <t>MARGEM EBITIDA</t>
  </si>
  <si>
    <r>
      <rPr>
        <rFont val="Arial MT"/>
        <color theme="1"/>
        <sz val="8.0"/>
      </rPr>
      <t>Receita da Prestação de Serviços - Mercado Interno</t>
    </r>
  </si>
  <si>
    <t>EBITIDA/Receita liquida</t>
  </si>
  <si>
    <t>Resultado Líquido</t>
  </si>
  <si>
    <t>Margem Líquida</t>
  </si>
  <si>
    <r>
      <rPr>
        <rFont val="Arial MT"/>
        <color theme="1"/>
        <sz val="8.0"/>
      </rPr>
      <t>3.01.01.01.03.0005</t>
    </r>
  </si>
  <si>
    <r>
      <rPr>
        <rFont val="Arial MT"/>
        <color theme="1"/>
        <sz val="8.0"/>
      </rPr>
      <t>ISS</t>
    </r>
  </si>
  <si>
    <t>QUANTIDADE DE PACIENTES</t>
  </si>
  <si>
    <t>Ismael</t>
  </si>
  <si>
    <r>
      <rPr>
        <rFont val="Arial MT"/>
        <color theme="1"/>
        <sz val="8.0"/>
      </rPr>
      <t>020.01.03</t>
    </r>
  </si>
  <si>
    <t>INDICADORES</t>
  </si>
  <si>
    <r>
      <rPr>
        <rFont val="Arial MT"/>
        <color theme="1"/>
        <sz val="8.0"/>
      </rPr>
      <t>COFINS</t>
    </r>
  </si>
  <si>
    <r>
      <rPr>
        <rFont val="Arial MT"/>
        <color theme="1"/>
        <sz val="8.0"/>
      </rPr>
      <t>010.01.06</t>
    </r>
  </si>
  <si>
    <r>
      <rPr>
        <rFont val="Arial MT"/>
        <color theme="1"/>
        <sz val="8.0"/>
      </rPr>
      <t>Locação de Bens Móveis e Imóveis</t>
    </r>
  </si>
  <si>
    <t>ORÇADO</t>
  </si>
  <si>
    <t>REALIZADO 2025</t>
  </si>
  <si>
    <t>VARIAÇÃO (vs. Orçado)</t>
  </si>
  <si>
    <t>Margem de Lucro</t>
  </si>
  <si>
    <t>QUANTIDADE DE NOVOS PACIENTES</t>
  </si>
  <si>
    <r>
      <rPr>
        <rFont val="Arial MT"/>
        <color theme="1"/>
        <sz val="8.0"/>
      </rPr>
      <t>3.01.01.01.03.0003</t>
    </r>
  </si>
  <si>
    <r>
      <rPr>
        <rFont val="Arial MT"/>
        <color theme="1"/>
        <sz val="8.0"/>
      </rPr>
      <t>COFINS</t>
    </r>
  </si>
  <si>
    <t>Indice de Eficiência</t>
  </si>
  <si>
    <t>TAXA DE OCUPAÇÃO</t>
  </si>
  <si>
    <r>
      <rPr>
        <rFont val="Arial MT"/>
        <color theme="1"/>
        <sz val="8.0"/>
      </rPr>
      <t>020.01.04</t>
    </r>
  </si>
  <si>
    <r>
      <rPr>
        <rFont val="Arial MT"/>
        <color theme="1"/>
        <sz val="8.0"/>
      </rPr>
      <t>PIS</t>
    </r>
  </si>
  <si>
    <r>
      <rPr>
        <rFont val="Arial MT"/>
        <color theme="1"/>
        <sz val="8.0"/>
      </rPr>
      <t>3.01.01.01.01.0008</t>
    </r>
  </si>
  <si>
    <r>
      <rPr>
        <rFont val="Arial MT"/>
        <color theme="1"/>
        <sz val="8.0"/>
      </rPr>
      <t>Receita de Locação de Bens Móveis e Imóveis</t>
    </r>
  </si>
  <si>
    <t>RECEITA BRUTA</t>
  </si>
  <si>
    <r>
      <rPr>
        <rFont val="Arial MT"/>
        <color theme="1"/>
        <sz val="8.0"/>
      </rPr>
      <t>3.01.01.01.03.0004</t>
    </r>
  </si>
  <si>
    <r>
      <rPr>
        <rFont val="Arial MT"/>
        <color theme="1"/>
        <sz val="8.0"/>
      </rPr>
      <t>PIS/PASEP</t>
    </r>
  </si>
  <si>
    <t>Ebitda</t>
  </si>
  <si>
    <t>Calculo com base em horarios livre</t>
  </si>
  <si>
    <t>TICKET MÉDIO POR CLIENTE</t>
  </si>
  <si>
    <t>Receita gerada/Quantidade (Ismael)</t>
  </si>
  <si>
    <t>MARGEM DE LUCRO</t>
  </si>
  <si>
    <r>
      <rPr>
        <rFont val="Arial MT"/>
        <color theme="1"/>
        <sz val="8.0"/>
      </rPr>
      <t>(=)  030</t>
    </r>
  </si>
  <si>
    <r>
      <rPr>
        <rFont val="Arial MT"/>
        <color theme="1"/>
        <sz val="8.0"/>
      </rPr>
      <t>Receita Líquida</t>
    </r>
  </si>
  <si>
    <t>% FATURAMENTO UNIMED</t>
  </si>
  <si>
    <t>Quanto a Unimed representa sobre o faturamento total</t>
  </si>
  <si>
    <t>Mg Ebitda</t>
  </si>
  <si>
    <t>NPS</t>
  </si>
  <si>
    <r>
      <rPr>
        <rFont val="Arial MT"/>
        <color theme="1"/>
        <sz val="8.0"/>
      </rPr>
      <t>(-)  020</t>
    </r>
  </si>
  <si>
    <r>
      <rPr>
        <rFont val="Arial MT"/>
        <color theme="1"/>
        <sz val="8.0"/>
      </rPr>
      <t>Deduções da Receita</t>
    </r>
  </si>
  <si>
    <t>LUCRO LIQUIDO</t>
  </si>
  <si>
    <r>
      <rPr>
        <rFont val="Arial MT"/>
        <color theme="1"/>
        <sz val="8.0"/>
      </rPr>
      <t>(-)  040</t>
    </r>
  </si>
  <si>
    <r>
      <rPr>
        <rFont val="Arial MT"/>
        <color theme="1"/>
        <sz val="8.0"/>
      </rPr>
      <t>Custo Mercad./Serv./Produtos Vendidos</t>
    </r>
  </si>
  <si>
    <t>YTD 25</t>
  </si>
  <si>
    <t>YTD 25 Orçado</t>
  </si>
  <si>
    <t>ROIC</t>
  </si>
  <si>
    <t>noplat (LAIR/pelo número de meses já consolidados * 2)/capital investido</t>
  </si>
  <si>
    <t>EBITDA</t>
  </si>
  <si>
    <t>ENDIVIDAMENTO GERAL</t>
  </si>
  <si>
    <t>Divida (Emprestimo) total / Total do ativo</t>
  </si>
  <si>
    <r>
      <rPr>
        <rFont val="Arial MT"/>
        <color theme="1"/>
        <sz val="8.0"/>
      </rPr>
      <t>020.01</t>
    </r>
  </si>
  <si>
    <r>
      <rPr>
        <rFont val="Arial MT"/>
        <color theme="1"/>
        <sz val="8.0"/>
      </rPr>
      <t>040.03</t>
    </r>
  </si>
  <si>
    <t>ENDIVIDAMENTO COM TERCEIROS</t>
  </si>
  <si>
    <r>
      <rPr>
        <rFont val="Arial MT"/>
        <color theme="1"/>
        <sz val="8.0"/>
      </rPr>
      <t>Impostos Faturados</t>
    </r>
  </si>
  <si>
    <r>
      <rPr>
        <rFont val="Arial MT"/>
        <color theme="1"/>
        <sz val="8.0"/>
      </rPr>
      <t>Custo dos Serviços Prestados</t>
    </r>
  </si>
  <si>
    <t xml:space="preserve">Total de capital de terceiros/Total Ativo </t>
  </si>
  <si>
    <t>MG EBITDA</t>
  </si>
  <si>
    <t>LIQUIDEZ CORRENTE</t>
  </si>
  <si>
    <t>Ativo circulante / passivo circulante</t>
  </si>
  <si>
    <r>
      <rPr>
        <rFont val="Arial MT"/>
        <color theme="1"/>
        <sz val="8.0"/>
      </rPr>
      <t>3.01.01.03.06</t>
    </r>
  </si>
  <si>
    <r>
      <rPr>
        <rFont val="Arial MT"/>
        <color theme="1"/>
        <sz val="8.0"/>
      </rPr>
      <t>Custo dos Serviços Produzidos</t>
    </r>
  </si>
  <si>
    <t>LIQUIDEZ GERAL</t>
  </si>
  <si>
    <t>ativo circulante + ativo RLP / total do passivo</t>
  </si>
  <si>
    <r>
      <rPr>
        <rFont val="Arial MT"/>
        <color theme="1"/>
        <sz val="8.0"/>
      </rPr>
      <t>3.01.01.03.06.0008</t>
    </r>
  </si>
  <si>
    <r>
      <rPr>
        <rFont val="Arial MT"/>
        <color theme="1"/>
        <sz val="8.0"/>
      </rPr>
      <t>Serviços Prestados Pessoa Jurídica</t>
    </r>
  </si>
  <si>
    <t>ÍNDICE DE COBERTURA DE JUROS</t>
  </si>
  <si>
    <t>lucro operacional / despesas com juros</t>
  </si>
  <si>
    <r>
      <rPr>
        <rFont val="Arial MT"/>
        <color theme="1"/>
        <sz val="8.0"/>
      </rPr>
      <t>020.01.02</t>
    </r>
  </si>
  <si>
    <r>
      <rPr>
        <rFont val="Arial MT"/>
        <color theme="1"/>
        <sz val="8.0"/>
      </rPr>
      <t>ISS</t>
    </r>
  </si>
  <si>
    <r>
      <rPr>
        <rFont val="Arial MT"/>
        <color theme="1"/>
        <sz val="8.0"/>
      </rPr>
      <t>3.01.01.03.06.0011</t>
    </r>
  </si>
  <si>
    <r>
      <rPr>
        <rFont val="Arial MT"/>
        <color theme="1"/>
        <sz val="8.0"/>
      </rPr>
      <t>INSS - Previdência Social</t>
    </r>
  </si>
  <si>
    <t>DIVIDA LÍQUIDA/EBITIDA</t>
  </si>
  <si>
    <t>financiamento e emprestimos - caixa e equivalantes total  / ebitida</t>
  </si>
  <si>
    <r>
      <rPr>
        <rFont val="Arial MT"/>
        <color theme="1"/>
        <sz val="8.0"/>
      </rPr>
      <t>3.01.01.03.06.0012</t>
    </r>
  </si>
  <si>
    <r>
      <rPr>
        <rFont val="Arial MT"/>
        <color theme="1"/>
        <sz val="8.0"/>
      </rPr>
      <t>FGTS</t>
    </r>
  </si>
  <si>
    <t>CAPITAL SOCIAL</t>
  </si>
  <si>
    <r>
      <rPr>
        <rFont val="Arial MT"/>
        <color theme="1"/>
        <sz val="8.0"/>
      </rPr>
      <t>3.01.01.03.06.0014</t>
    </r>
  </si>
  <si>
    <r>
      <rPr>
        <rFont val="Arial MT"/>
        <color theme="1"/>
        <sz val="8.0"/>
      </rPr>
      <t>Alimentação do Trabalhador</t>
    </r>
  </si>
  <si>
    <t>FORMATO</t>
  </si>
  <si>
    <t>ATIVO CIRCULANTE</t>
  </si>
  <si>
    <t>ATIVO RLP</t>
  </si>
  <si>
    <t>TOTAL DO ATIVO</t>
  </si>
  <si>
    <r>
      <rPr>
        <rFont val="Arial MT"/>
        <color theme="1"/>
        <sz val="8.0"/>
      </rPr>
      <t>3.01.01.01.03.0005</t>
    </r>
  </si>
  <si>
    <r>
      <rPr>
        <rFont val="Arial MT"/>
        <color theme="1"/>
        <sz val="8.0"/>
      </rPr>
      <t>3.01.01.03.06.0040</t>
    </r>
  </si>
  <si>
    <r>
      <rPr>
        <rFont val="Arial MT"/>
        <color theme="1"/>
        <sz val="8.0"/>
      </rPr>
      <t>Ordenados, Salários e Gratificações</t>
    </r>
  </si>
  <si>
    <r>
      <rPr>
        <rFont val="Arial MT"/>
        <color theme="1"/>
        <sz val="8.0"/>
      </rPr>
      <t>ISS</t>
    </r>
  </si>
  <si>
    <t>PASSIVO NÃO CIRCULANTE</t>
  </si>
  <si>
    <t>FINANCIAMENTO?</t>
  </si>
  <si>
    <t>PASSIVO CIRCULANTE</t>
  </si>
  <si>
    <t>3.01.01.03.06.0041</t>
  </si>
  <si>
    <t>Férias</t>
  </si>
  <si>
    <t>TOTAL DO PASSIVO</t>
  </si>
  <si>
    <t>CAPITAL SOCIAL TERCEIROS</t>
  </si>
  <si>
    <t>CS+P</t>
  </si>
  <si>
    <t>EMPRESTIMOS E FINANCIAMENTOS</t>
  </si>
  <si>
    <t>DEPRECIAÇÃO</t>
  </si>
  <si>
    <t xml:space="preserve">caixa e equivalantes total </t>
  </si>
  <si>
    <t>3.01.01.03.06.0042</t>
  </si>
  <si>
    <t>Décimo Terceiro Salário</t>
  </si>
  <si>
    <t>CAPITAL INVESTIDO</t>
  </si>
  <si>
    <r>
      <rPr>
        <rFont val="Arial MT"/>
        <color theme="1"/>
        <sz val="8.0"/>
      </rPr>
      <t>020.01.03</t>
    </r>
  </si>
  <si>
    <r>
      <rPr>
        <rFont val="Arial MT"/>
        <color theme="1"/>
        <sz val="8.0"/>
      </rPr>
      <t>COFINS</t>
    </r>
  </si>
  <si>
    <r>
      <rPr>
        <rFont val="Arial MT"/>
        <color theme="1"/>
        <sz val="8.0"/>
      </rPr>
      <t>3.01.01.03.06.0043</t>
    </r>
  </si>
  <si>
    <r>
      <rPr>
        <rFont val="Arial MT"/>
        <color theme="1"/>
        <sz val="8.0"/>
      </rPr>
      <t>Outros Gastos com Pessoal Ligado à Produção de Serviços</t>
    </r>
  </si>
  <si>
    <t>(vs. Orçado)</t>
  </si>
  <si>
    <r>
      <rPr>
        <rFont val="Arial MT"/>
        <color theme="1"/>
        <sz val="8.0"/>
      </rPr>
      <t>3.01.01.03.06.0045</t>
    </r>
  </si>
  <si>
    <r>
      <rPr>
        <rFont val="Arial MT"/>
        <color theme="1"/>
        <sz val="8.0"/>
      </rPr>
      <t>Vale Transporte</t>
    </r>
  </si>
  <si>
    <r>
      <rPr>
        <rFont val="Arial MT"/>
        <color theme="1"/>
        <sz val="8.0"/>
      </rPr>
      <t>3.01.01.01.03.0003</t>
    </r>
  </si>
  <si>
    <r>
      <rPr>
        <rFont val="Arial MT"/>
        <color theme="1"/>
        <sz val="8.0"/>
      </rPr>
      <t>COFINS</t>
    </r>
  </si>
  <si>
    <r>
      <rPr>
        <rFont val="Arial MT"/>
        <color theme="1"/>
        <sz val="8.0"/>
      </rPr>
      <t>3.01.01.03.06.0047</t>
    </r>
  </si>
  <si>
    <r>
      <rPr>
        <rFont val="Arial MT"/>
        <color theme="1"/>
        <sz val="8.0"/>
      </rPr>
      <t>Assistência Médica e Odontológica</t>
    </r>
  </si>
  <si>
    <r>
      <rPr>
        <rFont val="Arial MT"/>
        <color theme="1"/>
        <sz val="8.0"/>
      </rPr>
      <t>3.01.01.03.06.0048</t>
    </r>
  </si>
  <si>
    <r>
      <rPr>
        <rFont val="Arial MT"/>
        <color theme="1"/>
        <sz val="8.0"/>
      </rPr>
      <t>Rescisão de Contrato de Trabalho</t>
    </r>
  </si>
  <si>
    <r>
      <rPr>
        <rFont val="Arial MT"/>
        <color theme="1"/>
        <sz val="8.0"/>
      </rPr>
      <t>(=)  060</t>
    </r>
  </si>
  <si>
    <r>
      <rPr>
        <rFont val="Arial MT"/>
        <color theme="1"/>
        <sz val="8.0"/>
      </rPr>
      <t>Lucro Bruto</t>
    </r>
  </si>
  <si>
    <r>
      <rPr>
        <rFont val="Arial MT"/>
        <color theme="1"/>
        <sz val="8.0"/>
      </rPr>
      <t>020.01.04</t>
    </r>
  </si>
  <si>
    <r>
      <rPr>
        <rFont val="Arial MT"/>
        <color theme="1"/>
        <sz val="8.0"/>
      </rPr>
      <t>PIS</t>
    </r>
  </si>
  <si>
    <r>
      <rPr>
        <rFont val="Arial MT"/>
        <color theme="1"/>
        <sz val="8.0"/>
      </rPr>
      <t>(-)  070</t>
    </r>
  </si>
  <si>
    <r>
      <rPr>
        <rFont val="Arial MT"/>
        <color theme="1"/>
        <sz val="8.0"/>
      </rPr>
      <t>Despesas Operacionais</t>
    </r>
  </si>
  <si>
    <r>
      <rPr>
        <rFont val="Arial MT"/>
        <color theme="1"/>
        <sz val="8.0"/>
      </rPr>
      <t>3.01.01.01.03.0004</t>
    </r>
  </si>
  <si>
    <r>
      <rPr>
        <rFont val="Arial MT"/>
        <color theme="1"/>
        <sz val="8.0"/>
      </rPr>
      <t>PIS/PASEP</t>
    </r>
  </si>
  <si>
    <r>
      <rPr>
        <rFont val="Arial MT"/>
        <color theme="1"/>
        <sz val="8.0"/>
      </rPr>
      <t>070.01</t>
    </r>
  </si>
  <si>
    <r>
      <rPr>
        <rFont val="Arial MT"/>
        <color theme="1"/>
        <sz val="8.0"/>
      </rPr>
      <t>Despesas Administrativas</t>
    </r>
  </si>
  <si>
    <r>
      <rPr>
        <rFont val="Arial MT"/>
        <color theme="1"/>
        <sz val="8.0"/>
      </rPr>
      <t>3.01.01.07.01</t>
    </r>
  </si>
  <si>
    <r>
      <rPr>
        <rFont val="Arial MT"/>
        <color theme="1"/>
        <sz val="8.0"/>
      </rPr>
      <t>Despesas Operacionais das Atividades em Geral</t>
    </r>
  </si>
  <si>
    <r>
      <rPr>
        <rFont val="Arial MT"/>
        <color theme="1"/>
        <sz val="8.0"/>
      </rPr>
      <t>(=)  030</t>
    </r>
  </si>
  <si>
    <r>
      <rPr>
        <rFont val="Arial MT"/>
        <color theme="1"/>
        <sz val="8.0"/>
      </rPr>
      <t>3.01.01.07.01.0003</t>
    </r>
  </si>
  <si>
    <r>
      <rPr>
        <rFont val="Arial MT"/>
        <color theme="1"/>
        <sz val="8.0"/>
      </rPr>
      <t>Ordenados, Salários, Gratif e Outras Remuner a Empregados</t>
    </r>
  </si>
  <si>
    <t>3.01.01.07.01.0009</t>
  </si>
  <si>
    <r>
      <rPr>
        <rFont val="Arial MT"/>
        <color theme="1"/>
        <sz val="8.0"/>
      </rPr>
      <t>Serviços Prestados Pessoa Jurídica</t>
    </r>
  </si>
  <si>
    <r>
      <rPr>
        <rFont val="Arial MT"/>
        <color theme="1"/>
        <sz val="8.0"/>
      </rPr>
      <t>(-)  040</t>
    </r>
  </si>
  <si>
    <r>
      <rPr>
        <rFont val="Arial MT"/>
        <color theme="1"/>
        <sz val="8.0"/>
      </rPr>
      <t>Custo Mercad./Serv./Produtos Vendidos</t>
    </r>
  </si>
  <si>
    <r>
      <rPr>
        <rFont val="Arial MT"/>
        <color theme="1"/>
        <sz val="8.0"/>
      </rPr>
      <t>3.01.01.07.01.0024</t>
    </r>
  </si>
  <si>
    <r>
      <rPr>
        <rFont val="Arial MT"/>
        <color theme="1"/>
        <sz val="8.0"/>
      </rPr>
      <t>Aluguéis</t>
    </r>
  </si>
  <si>
    <r>
      <rPr>
        <rFont val="Arial MT"/>
        <color theme="1"/>
        <sz val="8.0"/>
      </rPr>
      <t>3.01.01.07.01.0029</t>
    </r>
  </si>
  <si>
    <r>
      <rPr>
        <rFont val="Arial MT"/>
        <color theme="1"/>
        <sz val="8.0"/>
      </rPr>
      <t>Multas</t>
    </r>
  </si>
  <si>
    <r>
      <rPr>
        <rFont val="Arial MT"/>
        <color theme="1"/>
        <sz val="8.0"/>
      </rPr>
      <t>3.01.01.07.01.0030</t>
    </r>
  </si>
  <si>
    <r>
      <rPr>
        <rFont val="Arial MT"/>
        <color theme="1"/>
        <sz val="8.0"/>
      </rPr>
      <t>Encargos de Depreciação e Amortização</t>
    </r>
  </si>
  <si>
    <r>
      <rPr>
        <rFont val="Arial MT"/>
        <color theme="1"/>
        <sz val="8.0"/>
      </rPr>
      <t>3.01.01.07.01.0042</t>
    </r>
  </si>
  <si>
    <r>
      <rPr>
        <rFont val="Arial MT"/>
        <color theme="1"/>
        <sz val="8.0"/>
      </rPr>
      <t>Outras Despesas Operacionais</t>
    </r>
  </si>
  <si>
    <r>
      <rPr>
        <rFont val="Arial MT"/>
        <color theme="1"/>
        <sz val="8.0"/>
      </rPr>
      <t>040.03</t>
    </r>
  </si>
  <si>
    <r>
      <rPr>
        <rFont val="Arial MT"/>
        <color theme="1"/>
        <sz val="8.0"/>
      </rPr>
      <t>Custo dos Serviços Prestados</t>
    </r>
  </si>
  <si>
    <r>
      <rPr>
        <rFont val="Arial MT"/>
        <color theme="1"/>
        <sz val="8.0"/>
      </rPr>
      <t>3.01.01.07.01.0048</t>
    </r>
  </si>
  <si>
    <r>
      <rPr>
        <rFont val="Arial MT"/>
        <color theme="1"/>
        <sz val="8.0"/>
      </rPr>
      <t>Energia Elétrica</t>
    </r>
  </si>
  <si>
    <r>
      <rPr>
        <rFont val="Arial MT"/>
        <color theme="1"/>
        <sz val="8.0"/>
      </rPr>
      <t>3.01.01.07.01.0049</t>
    </r>
  </si>
  <si>
    <r>
      <rPr>
        <rFont val="Arial MT"/>
        <color theme="1"/>
        <sz val="8.0"/>
      </rPr>
      <t>Água</t>
    </r>
  </si>
  <si>
    <r>
      <rPr>
        <rFont val="Arial MT"/>
        <color theme="1"/>
        <sz val="8.0"/>
      </rPr>
      <t>3.01.01.07.01.0050</t>
    </r>
  </si>
  <si>
    <r>
      <rPr>
        <rFont val="Arial MT"/>
        <color theme="1"/>
        <sz val="8.0"/>
      </rPr>
      <t>Telefones</t>
    </r>
  </si>
  <si>
    <t>3.01.01.03.06</t>
  </si>
  <si>
    <r>
      <rPr>
        <rFont val="Arial MT"/>
        <color theme="1"/>
        <sz val="8.0"/>
      </rPr>
      <t>3.01.01.07.01.0055</t>
    </r>
  </si>
  <si>
    <r>
      <rPr>
        <rFont val="Arial MT"/>
        <color theme="1"/>
        <sz val="8.0"/>
      </rPr>
      <t>Custo dos Serviços Produzidos</t>
    </r>
  </si>
  <si>
    <r>
      <rPr>
        <rFont val="Arial MT"/>
        <color theme="1"/>
        <sz val="8.0"/>
      </rPr>
      <t>Pró-labores</t>
    </r>
  </si>
  <si>
    <r>
      <rPr>
        <rFont val="Arial MT"/>
        <color theme="1"/>
        <sz val="8.0"/>
      </rPr>
      <t>3.01.01.07.01.0056</t>
    </r>
  </si>
  <si>
    <r>
      <rPr>
        <rFont val="Arial MT"/>
        <color theme="1"/>
        <sz val="8.0"/>
      </rPr>
      <t>Seguros Diversos</t>
    </r>
  </si>
  <si>
    <r>
      <rPr>
        <rFont val="Arial MT"/>
        <color theme="1"/>
        <sz val="8.0"/>
      </rPr>
      <t>3.01.01.07.01.0057</t>
    </r>
  </si>
  <si>
    <r>
      <rPr>
        <rFont val="Arial MT"/>
        <color theme="1"/>
        <sz val="8.0"/>
      </rPr>
      <t>Condomínio</t>
    </r>
  </si>
  <si>
    <r>
      <rPr>
        <rFont val="Arial MT"/>
        <color theme="1"/>
        <sz val="8.0"/>
      </rPr>
      <t>3.01.01.07.01.0059</t>
    </r>
  </si>
  <si>
    <r>
      <rPr>
        <rFont val="Arial MT"/>
        <color theme="1"/>
        <sz val="8.0"/>
      </rPr>
      <t>Despesas C/Festas e Comemorações</t>
    </r>
  </si>
  <si>
    <r>
      <rPr>
        <rFont val="Arial MT"/>
        <color theme="1"/>
        <sz val="8.0"/>
      </rPr>
      <t>3.01.01.03.06.0008</t>
    </r>
  </si>
  <si>
    <r>
      <rPr>
        <rFont val="Arial MT"/>
        <color theme="1"/>
        <sz val="8.0"/>
      </rPr>
      <t>Serviços Prestados Pessoa Jurídica</t>
    </r>
  </si>
  <si>
    <t>3.01.01.07.01.0061</t>
  </si>
  <si>
    <t>Assessoria Jurídica</t>
  </si>
  <si>
    <r>
      <rPr>
        <rFont val="Arial MT"/>
        <color theme="1"/>
        <sz val="8.0"/>
      </rPr>
      <t>3.01.01.07.01.0062</t>
    </r>
  </si>
  <si>
    <r>
      <rPr>
        <rFont val="Arial MT"/>
        <color theme="1"/>
        <sz val="8.0"/>
      </rPr>
      <t>Softwares</t>
    </r>
  </si>
  <si>
    <r>
      <rPr>
        <rFont val="Arial MT"/>
        <color theme="1"/>
        <sz val="8.0"/>
      </rPr>
      <t>3.01.01.03.06.0011</t>
    </r>
  </si>
  <si>
    <r>
      <rPr>
        <rFont val="Arial MT"/>
        <color theme="1"/>
        <sz val="8.0"/>
      </rPr>
      <t>INSS - Previdência Social</t>
    </r>
  </si>
  <si>
    <r>
      <rPr>
        <rFont val="Arial MT"/>
        <color theme="1"/>
        <sz val="8.0"/>
      </rPr>
      <t>3.01.01.07.01.0067</t>
    </r>
  </si>
  <si>
    <r>
      <rPr>
        <rFont val="Arial MT"/>
        <color theme="1"/>
        <sz val="8.0"/>
      </rPr>
      <t>Taxas e Emolumentos</t>
    </r>
  </si>
  <si>
    <r>
      <rPr>
        <rFont val="Arial MT"/>
        <color theme="1"/>
        <sz val="8.0"/>
      </rPr>
      <t>3.01.01.07.01.0068</t>
    </r>
  </si>
  <si>
    <r>
      <rPr>
        <rFont val="Arial MT"/>
        <color theme="1"/>
        <sz val="8.0"/>
      </rPr>
      <t>Assessoria Contábil</t>
    </r>
  </si>
  <si>
    <t>Paciente</t>
  </si>
  <si>
    <r>
      <rPr>
        <rFont val="Arial MT"/>
        <color theme="1"/>
        <sz val="8.0"/>
      </rPr>
      <t>3.01.01.03.06.0012</t>
    </r>
  </si>
  <si>
    <r>
      <rPr>
        <rFont val="Arial MT"/>
        <color theme="1"/>
        <sz val="8.0"/>
      </rPr>
      <t>3.01.01.07.01.0072</t>
    </r>
  </si>
  <si>
    <r>
      <rPr>
        <rFont val="Arial MT"/>
        <color theme="1"/>
        <sz val="8.0"/>
      </rPr>
      <t>FGTS</t>
    </r>
  </si>
  <si>
    <r>
      <rPr>
        <rFont val="Arial MT"/>
        <color theme="1"/>
        <sz val="8.0"/>
      </rPr>
      <t>Internet</t>
    </r>
  </si>
  <si>
    <t>Bernardo Sales Rodrigues</t>
  </si>
  <si>
    <t>Diego Monte Teixeira Filho</t>
  </si>
  <si>
    <t>Jose Ravi Nogueira de Oliveira</t>
  </si>
  <si>
    <r>
      <rPr>
        <rFont val="Arial MT"/>
        <color theme="1"/>
        <sz val="8.0"/>
      </rPr>
      <t>3.01.01.07.01.0073</t>
    </r>
  </si>
  <si>
    <r>
      <rPr>
        <rFont val="Arial MT"/>
        <color theme="1"/>
        <sz val="8.0"/>
      </rPr>
      <t>Fretes</t>
    </r>
  </si>
  <si>
    <r>
      <rPr>
        <rFont val="Arial MT"/>
        <color theme="1"/>
        <sz val="8.0"/>
      </rPr>
      <t>3.01.01.03.06.0014</t>
    </r>
  </si>
  <si>
    <r>
      <rPr>
        <rFont val="Arial MT"/>
        <color theme="1"/>
        <sz val="8.0"/>
      </rPr>
      <t>3.01.01.07.01.0081</t>
    </r>
  </si>
  <si>
    <r>
      <rPr>
        <rFont val="Arial MT"/>
        <color theme="1"/>
        <sz val="8.0"/>
      </rPr>
      <t>Despesas com Cartão de Crédito</t>
    </r>
  </si>
  <si>
    <r>
      <rPr>
        <rFont val="Arial MT"/>
        <color theme="1"/>
        <sz val="8.0"/>
      </rPr>
      <t>Alimentação do Trabalhador</t>
    </r>
  </si>
  <si>
    <r>
      <rPr>
        <rFont val="Arial MT"/>
        <color theme="1"/>
        <sz val="8.0"/>
      </rPr>
      <t>3.01.01.07.01.0082</t>
    </r>
  </si>
  <si>
    <r>
      <rPr>
        <rFont val="Arial MT"/>
        <color theme="1"/>
        <sz val="8.0"/>
      </rPr>
      <t>Manutenção Informática (TI)</t>
    </r>
  </si>
  <si>
    <r>
      <rPr>
        <rFont val="Arial MT"/>
        <color theme="1"/>
        <sz val="8.0"/>
      </rPr>
      <t>3.01.01.03.06.0040</t>
    </r>
  </si>
  <si>
    <r>
      <rPr>
        <rFont val="Arial MT"/>
        <color theme="1"/>
        <sz val="8.0"/>
      </rPr>
      <t>3.01.01.07.01.0086</t>
    </r>
  </si>
  <si>
    <r>
      <rPr>
        <rFont val="Arial MT"/>
        <color theme="1"/>
        <sz val="8.0"/>
      </rPr>
      <t>Ordenados, Salários e Gratificações</t>
    </r>
  </si>
  <si>
    <r>
      <rPr>
        <rFont val="Arial MT"/>
        <color theme="1"/>
        <sz val="8.0"/>
      </rPr>
      <t>Vigilância e segurança eletrônica</t>
    </r>
  </si>
  <si>
    <t>Pacientes</t>
  </si>
  <si>
    <r>
      <rPr>
        <rFont val="Arial MT"/>
        <color theme="1"/>
        <sz val="8.0"/>
      </rPr>
      <t>3.01.01.07.04</t>
    </r>
  </si>
  <si>
    <r>
      <rPr>
        <rFont val="Arial MT"/>
        <color theme="1"/>
        <sz val="8.0"/>
      </rPr>
      <t>PROVISÃO DE FÉRIAS</t>
    </r>
  </si>
  <si>
    <r>
      <rPr>
        <rFont val="Arial MT"/>
        <color theme="1"/>
        <sz val="8.0"/>
      </rPr>
      <t>3.01.01.07.04.0001</t>
    </r>
  </si>
  <si>
    <r>
      <rPr>
        <rFont val="Arial MT"/>
        <color theme="1"/>
        <sz val="8.0"/>
      </rPr>
      <t>Provisão de férias</t>
    </r>
  </si>
  <si>
    <r>
      <rPr>
        <rFont val="Arial MT"/>
        <color theme="1"/>
        <sz val="8.0"/>
      </rPr>
      <t>3.01.01.07.04.0002</t>
    </r>
  </si>
  <si>
    <r>
      <rPr>
        <rFont val="Arial MT"/>
        <color theme="1"/>
        <sz val="8.0"/>
      </rPr>
      <t>INSS s/ provisão de férias</t>
    </r>
  </si>
  <si>
    <r>
      <rPr>
        <rFont val="Arial MT"/>
        <color theme="1"/>
        <sz val="8.0"/>
      </rPr>
      <t>3.01.01.07.04.0003</t>
    </r>
  </si>
  <si>
    <r>
      <rPr>
        <rFont val="Arial MT"/>
        <color theme="1"/>
        <sz val="8.0"/>
      </rPr>
      <t>FGTS s/ previsão de férias</t>
    </r>
  </si>
  <si>
    <r>
      <rPr>
        <rFont val="Arial MT"/>
        <color theme="1"/>
        <sz val="8.0"/>
      </rPr>
      <t>3.01.01.07.05</t>
    </r>
  </si>
  <si>
    <r>
      <rPr>
        <rFont val="Arial MT"/>
        <color theme="1"/>
        <sz val="8.0"/>
      </rPr>
      <t>PROVISÃO DE 13 SALÁRIO</t>
    </r>
  </si>
  <si>
    <r>
      <rPr>
        <rFont val="Arial MT"/>
        <color theme="1"/>
        <sz val="8.0"/>
      </rPr>
      <t>3.01.01.07.05.0001</t>
    </r>
  </si>
  <si>
    <r>
      <rPr>
        <rFont val="Arial MT"/>
        <color theme="1"/>
        <sz val="8.0"/>
      </rPr>
      <t>Provisão de 13º salário</t>
    </r>
  </si>
  <si>
    <r>
      <rPr>
        <rFont val="Arial MT"/>
        <color theme="1"/>
        <sz val="8.0"/>
      </rPr>
      <t>3.01.01.03.06.0043</t>
    </r>
  </si>
  <si>
    <r>
      <rPr>
        <rFont val="Arial MT"/>
        <color theme="1"/>
        <sz val="8.0"/>
      </rPr>
      <t>3.01.01.07.05.0002</t>
    </r>
  </si>
  <si>
    <r>
      <rPr>
        <rFont val="Arial MT"/>
        <color theme="1"/>
        <sz val="8.0"/>
      </rPr>
      <t>Outros Gastos com Pessoal Ligado à Produção de Serviços</t>
    </r>
  </si>
  <si>
    <r>
      <rPr>
        <rFont val="Arial MT"/>
        <color theme="1"/>
        <sz val="8.0"/>
      </rPr>
      <t>INSS s/ provisão 13º salário</t>
    </r>
  </si>
  <si>
    <r>
      <rPr>
        <rFont val="Arial MT"/>
        <color theme="1"/>
        <sz val="8.0"/>
      </rPr>
      <t>3.01.01.07.05.0003</t>
    </r>
  </si>
  <si>
    <r>
      <rPr>
        <rFont val="Arial MT"/>
        <color theme="1"/>
        <sz val="8.0"/>
      </rPr>
      <t>FGTS s/ provisão 13º salário</t>
    </r>
  </si>
  <si>
    <r>
      <rPr>
        <rFont val="Arial MT"/>
        <color theme="1"/>
        <sz val="8.0"/>
      </rPr>
      <t>070.03</t>
    </r>
  </si>
  <si>
    <r>
      <rPr>
        <rFont val="Arial MT"/>
        <color theme="1"/>
        <sz val="8.0"/>
      </rPr>
      <t>Despesas Tributárias</t>
    </r>
  </si>
  <si>
    <r>
      <rPr>
        <rFont val="Arial MT"/>
        <color theme="1"/>
        <sz val="8.0"/>
      </rPr>
      <t>3.01.01.03.06.0045</t>
    </r>
  </si>
  <si>
    <r>
      <rPr>
        <rFont val="Arial MT"/>
        <color theme="1"/>
        <sz val="8.0"/>
      </rPr>
      <t>Vale Transporte</t>
    </r>
  </si>
  <si>
    <r>
      <rPr>
        <rFont val="Arial MT"/>
        <color theme="1"/>
        <sz val="8.0"/>
      </rPr>
      <t>3.01.01.07.03</t>
    </r>
  </si>
  <si>
    <r>
      <rPr>
        <rFont val="Arial MT"/>
        <color theme="1"/>
        <sz val="8.0"/>
      </rPr>
      <t>Despesas Tributárias</t>
    </r>
  </si>
  <si>
    <r>
      <rPr>
        <rFont val="Arial MT"/>
        <color theme="1"/>
        <sz val="8.0"/>
      </rPr>
      <t>3.01.01.07.03.0001</t>
    </r>
  </si>
  <si>
    <r>
      <rPr>
        <rFont val="Arial MT"/>
        <color theme="1"/>
        <sz val="8.0"/>
      </rPr>
      <t>IRPJ - Lucro Presumido</t>
    </r>
  </si>
  <si>
    <r>
      <rPr>
        <rFont val="Arial MT"/>
        <color theme="1"/>
        <sz val="8.0"/>
      </rPr>
      <t>3.01.01.03.06.0047</t>
    </r>
  </si>
  <si>
    <r>
      <rPr>
        <rFont val="Arial MT"/>
        <color theme="1"/>
        <sz val="8.0"/>
      </rPr>
      <t>Assistência Médica e Odontológica</t>
    </r>
  </si>
  <si>
    <r>
      <rPr>
        <rFont val="Arial MT"/>
        <color theme="1"/>
        <sz val="8.0"/>
      </rPr>
      <t>3.01.01.07.03.0002</t>
    </r>
  </si>
  <si>
    <r>
      <rPr>
        <rFont val="Arial MT"/>
        <color theme="1"/>
        <sz val="8.0"/>
      </rPr>
      <t>CSL - Lucro Presumido</t>
    </r>
  </si>
  <si>
    <r>
      <rPr>
        <rFont val="Arial MT"/>
        <color theme="1"/>
        <sz val="8.0"/>
      </rPr>
      <t>3.01.01.07.03.0004</t>
    </r>
  </si>
  <si>
    <r>
      <rPr>
        <rFont val="Arial MT"/>
        <color theme="1"/>
        <sz val="8.0"/>
      </rPr>
      <t>ICMS - Diferencial de Aliquota</t>
    </r>
  </si>
  <si>
    <r>
      <rPr>
        <rFont val="Arial MT"/>
        <color theme="1"/>
        <sz val="8.0"/>
      </rPr>
      <t>3.01.01.03.06.0048</t>
    </r>
  </si>
  <si>
    <r>
      <rPr>
        <rFont val="Arial MT"/>
        <color theme="1"/>
        <sz val="8.0"/>
      </rPr>
      <t>Rescisão de Contrato de Trabalho</t>
    </r>
  </si>
  <si>
    <r>
      <rPr>
        <rFont val="Arial MT"/>
        <color theme="1"/>
        <sz val="8.0"/>
      </rPr>
      <t>3.01.01.07.03.0008</t>
    </r>
  </si>
  <si>
    <r>
      <rPr>
        <rFont val="Arial MT"/>
        <color theme="1"/>
        <sz val="8.0"/>
      </rPr>
      <t>IPTU</t>
    </r>
  </si>
  <si>
    <r>
      <rPr>
        <rFont val="Arial MT"/>
        <color theme="1"/>
        <sz val="8.0"/>
      </rPr>
      <t>3.01.01.07.03.0012</t>
    </r>
  </si>
  <si>
    <r>
      <rPr>
        <rFont val="Arial MT"/>
        <color theme="1"/>
        <sz val="8.0"/>
      </rPr>
      <t>IRRF</t>
    </r>
  </si>
  <si>
    <r>
      <rPr>
        <rFont val="Arial MT"/>
        <color theme="1"/>
        <sz val="8.0"/>
      </rPr>
      <t>(=)  060</t>
    </r>
  </si>
  <si>
    <r>
      <rPr>
        <rFont val="Arial MT"/>
        <color theme="1"/>
        <sz val="8.0"/>
      </rPr>
      <t>Lucro Bruto</t>
    </r>
  </si>
  <si>
    <r>
      <rPr>
        <rFont val="Arial MT"/>
        <color theme="1"/>
        <sz val="8.0"/>
      </rPr>
      <t>3.01.01.07.03.0015</t>
    </r>
  </si>
  <si>
    <r>
      <rPr>
        <rFont val="Arial MT"/>
        <color theme="1"/>
        <sz val="8.0"/>
      </rPr>
      <t>Contribuição Sindical Assistencial</t>
    </r>
  </si>
  <si>
    <r>
      <rPr>
        <rFont val="Arial MT"/>
        <color theme="1"/>
        <sz val="8.0"/>
      </rPr>
      <t>070.04</t>
    </r>
  </si>
  <si>
    <r>
      <rPr>
        <rFont val="Arial MT"/>
        <color theme="1"/>
        <sz val="8.0"/>
      </rPr>
      <t>Resultado Financeiro</t>
    </r>
  </si>
  <si>
    <r>
      <rPr>
        <rFont val="Arial MT"/>
        <color theme="1"/>
        <sz val="8.0"/>
      </rPr>
      <t>070.04.01</t>
    </r>
  </si>
  <si>
    <r>
      <rPr>
        <rFont val="Arial MT"/>
        <color theme="1"/>
        <sz val="8.0"/>
      </rPr>
      <t>Receitas Financeiras</t>
    </r>
  </si>
  <si>
    <r>
      <rPr>
        <rFont val="Arial MT"/>
        <color theme="1"/>
        <sz val="8.0"/>
      </rPr>
      <t>(-)  070</t>
    </r>
  </si>
  <si>
    <r>
      <rPr>
        <rFont val="Arial MT"/>
        <color theme="1"/>
        <sz val="8.0"/>
      </rPr>
      <t>Despesas Operacionais</t>
    </r>
  </si>
  <si>
    <r>
      <rPr>
        <rFont val="Arial MT"/>
        <color theme="1"/>
        <sz val="8.0"/>
      </rPr>
      <t>3.01.01.05.01</t>
    </r>
  </si>
  <si>
    <r>
      <rPr>
        <rFont val="Arial MT"/>
        <color theme="1"/>
        <sz val="8.0"/>
      </rPr>
      <t>Receitas Financeiras</t>
    </r>
  </si>
  <si>
    <t>Faturamento 2025</t>
  </si>
  <si>
    <r>
      <rPr>
        <rFont val="Arial MT"/>
        <color theme="1"/>
        <sz val="8.0"/>
      </rPr>
      <t>3.01.01.05.01.0007</t>
    </r>
  </si>
  <si>
    <r>
      <rPr>
        <rFont val="Arial MT"/>
        <color theme="1"/>
        <sz val="8.0"/>
      </rPr>
      <t>Rendimentos Aplicações Financeiras</t>
    </r>
  </si>
  <si>
    <r>
      <rPr>
        <rFont val="Arial MT"/>
        <color theme="1"/>
        <sz val="8.0"/>
      </rPr>
      <t>070.01</t>
    </r>
  </si>
  <si>
    <r>
      <rPr>
        <rFont val="Arial MT"/>
        <color theme="1"/>
        <sz val="8.0"/>
      </rPr>
      <t>Despesas Administrativas</t>
    </r>
  </si>
  <si>
    <r>
      <rPr>
        <rFont val="Arial MT"/>
        <color theme="1"/>
        <sz val="8.0"/>
      </rPr>
      <t>070.04.02</t>
    </r>
  </si>
  <si>
    <r>
      <rPr>
        <rFont val="Arial MT"/>
        <color theme="1"/>
        <sz val="8.0"/>
      </rPr>
      <t>Despesas Financeiras</t>
    </r>
  </si>
  <si>
    <t>Consolidação/2025</t>
  </si>
  <si>
    <r>
      <rPr>
        <rFont val="Arial MT"/>
        <color theme="1"/>
        <sz val="8.0"/>
      </rPr>
      <t>3.01.01.09.01</t>
    </r>
  </si>
  <si>
    <r>
      <rPr>
        <rFont val="Arial MT"/>
        <color theme="1"/>
        <sz val="8.0"/>
      </rPr>
      <t>Despesas Financeiras</t>
    </r>
  </si>
  <si>
    <t>Descrição</t>
  </si>
  <si>
    <r>
      <rPr>
        <rFont val="Arial MT"/>
        <color theme="1"/>
        <sz val="8.0"/>
      </rPr>
      <t>3.01.01.07.01</t>
    </r>
  </si>
  <si>
    <r>
      <rPr>
        <rFont val="Arial MT"/>
        <color theme="1"/>
        <sz val="8.0"/>
      </rPr>
      <t>Despesas Operacionais das Atividades em Geral</t>
    </r>
  </si>
  <si>
    <r>
      <rPr>
        <rFont val="Arial MT"/>
        <color theme="1"/>
        <sz val="8.0"/>
      </rPr>
      <t>3.01.01.09.01.0006</t>
    </r>
  </si>
  <si>
    <r>
      <rPr>
        <rFont val="Arial MT"/>
        <color theme="1"/>
        <sz val="8.0"/>
      </rPr>
      <t>Juros Pagos e/ou Incorridos</t>
    </r>
  </si>
  <si>
    <r>
      <rPr>
        <rFont val="Arial MT"/>
        <color theme="1"/>
        <sz val="8.0"/>
      </rPr>
      <t>3.01.01.07.01.0003</t>
    </r>
  </si>
  <si>
    <r>
      <rPr>
        <rFont val="Arial MT"/>
        <color theme="1"/>
        <sz val="8.0"/>
      </rPr>
      <t>Ordenados, Salários, Gratif e Outras Remuner a Empregados</t>
    </r>
  </si>
  <si>
    <t>INDCADORES CONSOLIDADOS</t>
  </si>
  <si>
    <t>FORMULA</t>
  </si>
  <si>
    <t>CÁLCULO</t>
  </si>
  <si>
    <t>VALOR</t>
  </si>
  <si>
    <t>HAPVIDA</t>
  </si>
  <si>
    <r>
      <rPr>
        <rFont val="Arial MT"/>
        <color theme="1"/>
        <sz val="8.0"/>
      </rPr>
      <t>3.01.01.09.01.0007</t>
    </r>
  </si>
  <si>
    <r>
      <rPr>
        <rFont val="Arial MT"/>
        <color theme="1"/>
        <sz val="8.0"/>
      </rPr>
      <t>Descontos Concedidos</t>
    </r>
  </si>
  <si>
    <t>Indicador</t>
  </si>
  <si>
    <t>Orçado original</t>
  </si>
  <si>
    <t>Otimista</t>
  </si>
  <si>
    <t>Pessimista</t>
  </si>
  <si>
    <t>Δ Otim vs Orç</t>
  </si>
  <si>
    <t>Δ Pes vs Orç</t>
  </si>
  <si>
    <t>Δ Otim vs Pes</t>
  </si>
  <si>
    <t>Receita Bruta Operacional</t>
  </si>
  <si>
    <r>
      <rPr>
        <rFont val="Arial MT"/>
        <color theme="1"/>
        <sz val="8.0"/>
      </rPr>
      <t>3.01.01.09.01.0008</t>
    </r>
  </si>
  <si>
    <r>
      <rPr>
        <rFont val="Arial MT"/>
        <color theme="1"/>
        <sz val="8.0"/>
      </rPr>
      <t>Juros, Comiss e Outras Desps Bancárias</t>
    </r>
  </si>
  <si>
    <t xml:space="preserve"> 3.01.01.07.01.0009</t>
  </si>
  <si>
    <t>Serviços Prestados Pessoa Jurídica</t>
  </si>
  <si>
    <r>
      <rPr>
        <rFont val="Arial MT"/>
        <color theme="1"/>
        <sz val="8.0"/>
      </rPr>
      <t>3.01.01.09.01.0009</t>
    </r>
  </si>
  <si>
    <r>
      <rPr>
        <rFont val="Arial MT"/>
        <color theme="1"/>
        <sz val="8.0"/>
      </rPr>
      <t>IOF</t>
    </r>
  </si>
  <si>
    <r>
      <rPr>
        <rFont val="Arial MT"/>
        <color theme="1"/>
        <sz val="8.0"/>
      </rPr>
      <t>3.01.01.09.01.0011</t>
    </r>
  </si>
  <si>
    <r>
      <rPr>
        <rFont val="Arial MT"/>
        <color theme="1"/>
        <sz val="8.0"/>
      </rPr>
      <t>Tarifas Bancárias</t>
    </r>
  </si>
  <si>
    <t>(+) Receita Bruta Operacional</t>
  </si>
  <si>
    <r>
      <rPr>
        <rFont val="Arial MT"/>
        <color theme="1"/>
        <sz val="8.0"/>
      </rPr>
      <t>(=)  110</t>
    </r>
  </si>
  <si>
    <r>
      <rPr>
        <rFont val="Arial MT"/>
        <color theme="1"/>
        <sz val="8.0"/>
      </rPr>
      <t>Res. Antes das Participações e Contrib.</t>
    </r>
  </si>
  <si>
    <r>
      <rPr>
        <rFont val="Arial MT"/>
        <color theme="1"/>
        <sz val="8.0"/>
      </rPr>
      <t>3.01.01.07.01.0024</t>
    </r>
  </si>
  <si>
    <r>
      <rPr>
        <rFont val="Arial MT"/>
        <color theme="1"/>
        <sz val="8.0"/>
      </rPr>
      <t>Aluguéis</t>
    </r>
  </si>
  <si>
    <t>L-COR</t>
  </si>
  <si>
    <t>ATIVO C</t>
  </si>
  <si>
    <r>
      <rPr>
        <rFont val="Arial MT"/>
        <color theme="1"/>
        <sz val="8.0"/>
      </rPr>
      <t>(=)  150</t>
    </r>
  </si>
  <si>
    <r>
      <rPr>
        <rFont val="Arial MT"/>
        <color theme="1"/>
        <sz val="8.0"/>
      </rPr>
      <t>Res. Antes Imp.Renda e Contrib. Social</t>
    </r>
  </si>
  <si>
    <t>25,07M</t>
  </si>
  <si>
    <t>23,94M</t>
  </si>
  <si>
    <t>22,90M</t>
  </si>
  <si>
    <t>−4,5%</t>
  </si>
  <si>
    <t>−8,6%</t>
  </si>
  <si>
    <r>
      <rPr>
        <rFont val="Arial MT"/>
        <color theme="1"/>
        <sz val="8.0"/>
      </rPr>
      <t>(=)  200</t>
    </r>
  </si>
  <si>
    <r>
      <rPr>
        <rFont val="Arial MT"/>
        <color theme="1"/>
        <sz val="8.0"/>
      </rPr>
      <t>Resultado Líquido do Exercicio</t>
    </r>
  </si>
  <si>
    <t>(-) Deduções da Receita</t>
  </si>
  <si>
    <r>
      <rPr>
        <rFont val="Arial MT"/>
        <color theme="1"/>
        <sz val="8.0"/>
      </rPr>
      <t>3.01.01.07.01.0029</t>
    </r>
  </si>
  <si>
    <r>
      <rPr>
        <rFont val="Arial MT"/>
        <color theme="1"/>
        <sz val="8.0"/>
      </rPr>
      <t>Multas</t>
    </r>
  </si>
  <si>
    <t>PASSIVO C</t>
  </si>
  <si>
    <t>Custos Totais</t>
  </si>
  <si>
    <t>8,00M</t>
  </si>
  <si>
    <r>
      <rPr>
        <rFont val="Arial MT"/>
        <color theme="1"/>
        <sz val="8.0"/>
      </rPr>
      <t>3.01.01.07.01.0030</t>
    </r>
  </si>
  <si>
    <t>8,95M</t>
  </si>
  <si>
    <r>
      <rPr>
        <rFont val="Arial MT"/>
        <color theme="1"/>
        <sz val="8.0"/>
      </rPr>
      <t>Encargos de Depreciação e Amortização</t>
    </r>
  </si>
  <si>
    <t>8,75M</t>
  </si>
  <si>
    <t>MARGEM LIQUIDA</t>
  </si>
  <si>
    <t>Meta 2026</t>
  </si>
  <si>
    <t>JAN</t>
  </si>
  <si>
    <r>
      <rPr>
        <rFont val="Arial MT"/>
        <color theme="1"/>
        <sz val="8.0"/>
      </rPr>
      <t>3.01.01.07.01.0042</t>
    </r>
  </si>
  <si>
    <r>
      <rPr>
        <rFont val="Arial MT"/>
        <color theme="1"/>
        <sz val="8.0"/>
      </rPr>
      <t>Outras Despesas Operacionais</t>
    </r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</si>
  <si>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</si>
  <si>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</si>
  <si>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</si>
  <si>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</si>
  <si>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</si>
  <si>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</si>
  <si>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</si>
  <si>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</si>
  <si>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</si>
  <si>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</si>
  <si>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(=) Receita Líquida</t>
  </si>
  <si>
    <t>DEZ</t>
  </si>
  <si>
    <t>1T</t>
  </si>
  <si>
    <t>2T</t>
  </si>
  <si>
    <t>3T</t>
  </si>
  <si>
    <t>4T</t>
  </si>
  <si>
    <t>Consolidação/2026</t>
  </si>
  <si>
    <r>
      <rPr>
        <rFont val="Arial MT"/>
        <color theme="1"/>
        <sz val="8.0"/>
      </rPr>
      <t>3.01.01.07.01.0048</t>
    </r>
  </si>
  <si>
    <r>
      <rPr>
        <rFont val="Arial MT"/>
        <color theme="1"/>
        <sz val="8.0"/>
      </rPr>
      <t>Energia Elétrica</t>
    </r>
  </si>
  <si>
    <t>DIVIDA LÍQUIDA / EBITDA</t>
  </si>
  <si>
    <t>FINAN - EQ CAIXA</t>
  </si>
  <si>
    <t>Margem Ebitda</t>
  </si>
  <si>
    <t>Despesas Oper.</t>
  </si>
  <si>
    <t>8,12M</t>
  </si>
  <si>
    <t>7,36M</t>
  </si>
  <si>
    <t>7,31M</t>
  </si>
  <si>
    <t>−9,4%</t>
  </si>
  <si>
    <t>−9,9%</t>
  </si>
  <si>
    <r>
      <rPr>
        <rFont val="Arial MT"/>
        <color theme="1"/>
        <sz val="8.0"/>
      </rPr>
      <t>3.01.01.07.01.0049</t>
    </r>
  </si>
  <si>
    <r>
      <rPr>
        <rFont val="Arial MT"/>
        <color theme="1"/>
        <sz val="8.0"/>
      </rPr>
      <t>Água</t>
    </r>
  </si>
  <si>
    <t>Justificativas</t>
  </si>
  <si>
    <t>Mês curto</t>
  </si>
  <si>
    <t>Clinica Aracati</t>
  </si>
  <si>
    <t>Carnaval</t>
  </si>
  <si>
    <t>Nova Clinica</t>
  </si>
  <si>
    <t>(=) Lucro Bruto</t>
  </si>
  <si>
    <t>Deduções da Receita Bruta</t>
  </si>
  <si>
    <r>
      <rPr>
        <rFont val="Arial MT"/>
        <color theme="1"/>
        <sz val="8.0"/>
      </rPr>
      <t>3.01.01.07.01.0050</t>
    </r>
  </si>
  <si>
    <r>
      <rPr>
        <rFont val="Arial MT"/>
        <color theme="1"/>
        <sz val="8.0"/>
      </rPr>
      <t>Telefones</t>
    </r>
  </si>
  <si>
    <t>Margem Bruta</t>
  </si>
  <si>
    <t>5,15M</t>
  </si>
  <si>
    <t>4,47M</t>
  </si>
  <si>
    <t>3,93M</t>
  </si>
  <si>
    <t>−13,2%</t>
  </si>
  <si>
    <t>−23,7%</t>
  </si>
  <si>
    <r>
      <rPr>
        <rFont val="Arial MT"/>
        <color theme="1"/>
        <sz val="8.0"/>
      </rPr>
      <t>3.01.01.07.01.0055</t>
    </r>
  </si>
  <si>
    <t>(-) Custo dos Serviços Prestados</t>
  </si>
  <si>
    <r>
      <rPr>
        <rFont val="Arial MT"/>
        <color theme="1"/>
        <sz val="8.0"/>
      </rPr>
      <t>Pró-labores</t>
    </r>
  </si>
  <si>
    <t>ICJ</t>
  </si>
  <si>
    <t>EBIT</t>
  </si>
  <si>
    <t>−1,9 p.p.</t>
  </si>
  <si>
    <t>−3,3 p.p.</t>
  </si>
  <si>
    <r>
      <rPr>
        <rFont val="Arial MT"/>
        <color theme="1"/>
        <sz val="8.0"/>
      </rPr>
      <t>3.01.01.07.01.0056</t>
    </r>
  </si>
  <si>
    <r>
      <rPr>
        <rFont val="Arial MT"/>
        <color theme="1"/>
        <sz val="8.0"/>
      </rPr>
      <t>Seguros Diversos</t>
    </r>
  </si>
  <si>
    <t>Receita Operacional</t>
  </si>
  <si>
    <t>Custo dos Bens e Serviços Vendidos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</si>
  <si>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</si>
  <si>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</si>
  <si>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</si>
  <si>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</si>
  <si>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</si>
  <si>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</si>
  <si>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</si>
  <si>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</si>
  <si>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</si>
  <si>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</si>
  <si>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</si>
  <si>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</si>
  <si>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r>
      <rPr>
        <rFont val="Arial MT"/>
        <color theme="1"/>
        <sz val="8.0"/>
      </rPr>
      <t>3.01.01.07.01.0057</t>
    </r>
  </si>
  <si>
    <r>
      <rPr>
        <rFont val="Arial MT"/>
        <color theme="1"/>
        <sz val="8.0"/>
      </rPr>
      <t>Condomínio</t>
    </r>
  </si>
  <si>
    <t>(-) Despesas Operacionais</t>
  </si>
  <si>
    <r>
      <rPr>
        <rFont val="Arial MT"/>
        <color theme="1"/>
        <sz val="8.0"/>
      </rPr>
      <t>3.01.01.07.01.0059</t>
    </r>
  </si>
  <si>
    <r>
      <rPr>
        <rFont val="Arial MT"/>
        <color theme="1"/>
        <sz val="8.0"/>
      </rPr>
      <t>Despesas C/Festas e Comemorações</t>
    </r>
  </si>
  <si>
    <t>DESP. C/ JUROS</t>
  </si>
  <si>
    <t>Provisão para CSLL e IRPJ</t>
  </si>
  <si>
    <r>
      <rPr>
        <rFont val="Arial MT"/>
        <color theme="1"/>
        <sz val="8.0"/>
      </rPr>
      <t>3.01.01.07.01.0062</t>
    </r>
  </si>
  <si>
    <r>
      <rPr>
        <rFont val="Arial MT"/>
        <color theme="1"/>
        <sz val="8.0"/>
      </rPr>
      <t>Softwares</t>
    </r>
  </si>
  <si>
    <r>
      <rPr>
        <rFont val="Arial MT"/>
        <color theme="1"/>
        <sz val="8.0"/>
      </rPr>
      <t>3.01.01.07.01.0067</t>
    </r>
  </si>
  <si>
    <r>
      <rPr>
        <rFont val="Arial MT"/>
        <color theme="1"/>
        <sz val="8.0"/>
      </rPr>
      <t>Taxas e Emolumentos</t>
    </r>
  </si>
  <si>
    <t>Res. Antes Imp.Renda e Contrib. Social</t>
  </si>
  <si>
    <r>
      <rPr>
        <rFont val="Arial MT"/>
        <color theme="1"/>
        <sz val="8.0"/>
      </rPr>
      <t>3.01.01.07.01.0068</t>
    </r>
  </si>
  <si>
    <r>
      <rPr>
        <rFont val="Arial MT"/>
        <color theme="1"/>
        <sz val="8.0"/>
      </rPr>
      <t>Assessoria Contábil</t>
    </r>
  </si>
  <si>
    <t>Resultado Líquido do Exercicio</t>
  </si>
  <si>
    <r>
      <rPr>
        <rFont val="Arial MT"/>
        <color theme="1"/>
        <sz val="8.0"/>
      </rPr>
      <t>3.01.01.07.01.0072</t>
    </r>
  </si>
  <si>
    <r>
      <rPr>
        <rFont val="Arial MT"/>
        <color theme="1"/>
        <sz val="8.0"/>
      </rPr>
      <t>Internet</t>
    </r>
  </si>
  <si>
    <r>
      <rPr>
        <rFont val="Arial MT"/>
        <color theme="1"/>
        <sz val="8.0"/>
      </rPr>
      <t>3.01.01.07.01.0073</t>
    </r>
  </si>
  <si>
    <r>
      <rPr>
        <rFont val="Arial MT"/>
        <color theme="1"/>
        <sz val="8.0"/>
      </rPr>
      <t>Fretes</t>
    </r>
  </si>
  <si>
    <r>
      <rPr>
        <rFont val="Arial MT"/>
        <color theme="1"/>
        <sz val="8.0"/>
      </rPr>
      <t>3.01.01.07.01.0081</t>
    </r>
  </si>
  <si>
    <r>
      <rPr>
        <rFont val="Arial MT"/>
        <color theme="1"/>
        <sz val="8.0"/>
      </rPr>
      <t>Despesas com Cartão de Crédito</t>
    </r>
  </si>
  <si>
    <t>Assefaz - Ceara</t>
  </si>
  <si>
    <r>
      <rPr>
        <rFont val="Arial MT"/>
        <color theme="1"/>
        <sz val="8.0"/>
      </rPr>
      <t>3.01.01.07.01.0082</t>
    </r>
  </si>
  <si>
    <t>-</t>
  </si>
  <si>
    <r>
      <rPr>
        <rFont val="Arial MT"/>
        <color theme="1"/>
        <sz val="8.0"/>
      </rPr>
      <t>Manutenção Informática (TI)</t>
    </r>
  </si>
  <si>
    <r>
      <rPr>
        <rFont val="Arial MT"/>
        <color theme="1"/>
        <sz val="8.0"/>
      </rPr>
      <t>3.01.01.07.01.0086</t>
    </r>
  </si>
  <si>
    <r>
      <rPr>
        <rFont val="Arial MT"/>
        <color theme="1"/>
        <sz val="8.0"/>
      </rPr>
      <t>Vigilância e segurança eletrônica</t>
    </r>
  </si>
  <si>
    <t>Camed</t>
  </si>
  <si>
    <r>
      <rPr>
        <rFont val="Arial MT"/>
        <color theme="1"/>
        <sz val="8.0"/>
      </rPr>
      <t>3.01.01.07.04</t>
    </r>
  </si>
  <si>
    <r>
      <rPr>
        <rFont val="Arial MT"/>
        <color theme="1"/>
        <sz val="8.0"/>
      </rPr>
      <t>PROVISÃO DE FÉRIAS</t>
    </r>
  </si>
  <si>
    <r>
      <rPr>
        <rFont val="Arial MT"/>
        <color theme="1"/>
        <sz val="8.0"/>
      </rPr>
      <t>3.01.01.07.04.0001</t>
    </r>
  </si>
  <si>
    <r>
      <rPr>
        <rFont val="Arial MT"/>
        <color theme="1"/>
        <sz val="8.0"/>
      </rPr>
      <t>Provisão de férias</t>
    </r>
  </si>
  <si>
    <t>Casembrapa</t>
  </si>
  <si>
    <r>
      <rPr>
        <rFont val="Arial MT"/>
        <color theme="1"/>
        <sz val="8.0"/>
      </rPr>
      <t>3.01.01.07.04.0002</t>
    </r>
  </si>
  <si>
    <r>
      <rPr>
        <rFont val="Arial MT"/>
        <color theme="1"/>
        <sz val="8.0"/>
      </rPr>
      <t>INSS s/ provisão de férias</t>
    </r>
  </si>
  <si>
    <t>Fusex</t>
  </si>
  <si>
    <r>
      <rPr>
        <rFont val="Arial MT"/>
        <color theme="1"/>
        <sz val="8.0"/>
      </rPr>
      <t>3.01.01.07.04.0003</t>
    </r>
  </si>
  <si>
    <r>
      <rPr>
        <rFont val="Arial MT"/>
        <color theme="1"/>
        <sz val="8.0"/>
      </rPr>
      <t>FGTS s/ previsão de férias</t>
    </r>
  </si>
  <si>
    <r>
      <rPr>
        <rFont val="Arial MT"/>
        <color theme="1"/>
        <sz val="8.0"/>
      </rPr>
      <t>3.01.01.07.05</t>
    </r>
  </si>
  <si>
    <r>
      <rPr>
        <rFont val="Arial MT"/>
        <color theme="1"/>
        <sz val="8.0"/>
      </rPr>
      <t>PROVISÃO DE 13 SALÁRIO</t>
    </r>
  </si>
  <si>
    <t>Marinha</t>
  </si>
  <si>
    <t>Fluxo de Caixa</t>
  </si>
  <si>
    <r>
      <rPr>
        <rFont val="Arial MT"/>
        <color theme="1"/>
        <sz val="8.0"/>
      </rPr>
      <t>3.01.01.07.05.0001</t>
    </r>
  </si>
  <si>
    <r>
      <rPr>
        <rFont val="Arial MT"/>
        <color theme="1"/>
        <sz val="8.0"/>
      </rPr>
      <t>Provisão de 13º salário</t>
    </r>
  </si>
  <si>
    <t>(+) Depreciação e Amortização</t>
  </si>
  <si>
    <t>(+/-) Variação em Contas a Receber</t>
  </si>
  <si>
    <t>(+/-) Variação em Fornecedores</t>
  </si>
  <si>
    <r>
      <rPr>
        <rFont val="Arial MT"/>
        <color theme="1"/>
        <sz val="8.0"/>
      </rPr>
      <t>3.01.01.07.05.0002</t>
    </r>
  </si>
  <si>
    <r>
      <rPr>
        <rFont val="Arial MT"/>
        <color theme="1"/>
        <sz val="8.0"/>
      </rPr>
      <t>INSS s/ provisão 13º salário</t>
    </r>
  </si>
  <si>
    <t>(+/-) Variação em Obrigações e Encargos</t>
  </si>
  <si>
    <t>Particular</t>
  </si>
  <si>
    <t>Caixa Líquido das Atividades Operacionais (FCO)</t>
  </si>
  <si>
    <t>(-) Investimentos em Imobilizado / Equipamentos</t>
  </si>
  <si>
    <t>Caixa Líquido das Atividades de Investimento (FCI)</t>
  </si>
  <si>
    <r>
      <rPr>
        <rFont val="Arial MT"/>
        <color theme="1"/>
        <sz val="8.0"/>
      </rPr>
      <t>3.01.01.07.05.0003</t>
    </r>
  </si>
  <si>
    <r>
      <rPr>
        <rFont val="Arial MT"/>
        <color theme="1"/>
        <sz val="8.0"/>
      </rPr>
      <t>FGTS s/ provisão 13º salário</t>
    </r>
  </si>
  <si>
    <t>(-) Amortização de Empréstimos</t>
  </si>
  <si>
    <t>(-) Distribuição de Lucros / Pró-labore</t>
  </si>
  <si>
    <t>Unimed Central Nacional</t>
  </si>
  <si>
    <t>Caixa Líquido das Atividades de Financiamento (FCF)</t>
  </si>
  <si>
    <r>
      <rPr>
        <rFont val="Arial MT"/>
        <color theme="1"/>
        <sz val="8.0"/>
      </rPr>
      <t>070.03</t>
    </r>
  </si>
  <si>
    <r>
      <rPr>
        <rFont val="Arial MT"/>
        <color theme="1"/>
        <sz val="8.0"/>
      </rPr>
      <t>Despesas Tributárias</t>
    </r>
  </si>
  <si>
    <t>Variação Líquida do Caixa no Trimestre</t>
  </si>
  <si>
    <t>Caixa Inicial (01/01/2025)</t>
  </si>
  <si>
    <t>Caixa Final (31/12/2025)</t>
  </si>
  <si>
    <r>
      <rPr>
        <rFont val="Arial MT"/>
        <color theme="1"/>
        <sz val="8.0"/>
      </rPr>
      <t>3.01.01.07.03</t>
    </r>
  </si>
  <si>
    <r>
      <rPr>
        <rFont val="Arial MT"/>
        <color theme="1"/>
        <sz val="8.0"/>
      </rPr>
      <t>Despesas Tributárias</t>
    </r>
  </si>
  <si>
    <t>Aumento ou Redução de Caixa</t>
  </si>
  <si>
    <t>Unimed Fesp</t>
  </si>
  <si>
    <t>Cenário Otimista</t>
  </si>
  <si>
    <t>3.01.01.07.03.0001</t>
  </si>
  <si>
    <r>
      <rPr>
        <rFont val="Arial MT"/>
        <color theme="1"/>
        <sz val="8.0"/>
      </rPr>
      <t>IRPJ - Lucro Presumido</t>
    </r>
  </si>
  <si>
    <t>Unimed Fortaleza</t>
  </si>
  <si>
    <r>
      <rPr>
        <rFont val="Arial MT"/>
        <color theme="1"/>
        <sz val="8.0"/>
      </rPr>
      <t>3.01.01.07.03.0002</t>
    </r>
  </si>
  <si>
    <r>
      <rPr>
        <rFont val="Arial MT"/>
        <color theme="1"/>
        <sz val="8.0"/>
      </rPr>
      <t>CSL - Lucro Presumido</t>
    </r>
  </si>
  <si>
    <r>
      <rPr>
        <rFont val="Arial MT"/>
        <color theme="1"/>
        <sz val="8.0"/>
      </rPr>
      <t>3.01.01.07.03.0004</t>
    </r>
  </si>
  <si>
    <r>
      <rPr>
        <rFont val="Arial MT"/>
        <color theme="1"/>
        <sz val="8.0"/>
      </rPr>
      <t>ICMS - Diferencial de Aliquota</t>
    </r>
  </si>
  <si>
    <r>
      <rPr>
        <rFont val="Arial MT"/>
        <color theme="1"/>
        <sz val="8.0"/>
      </rPr>
      <t>3.01.01.07.03.0008</t>
    </r>
  </si>
  <si>
    <r>
      <rPr>
        <rFont val="Arial MT"/>
        <color theme="1"/>
        <sz val="8.0"/>
      </rPr>
      <t>IPTU</t>
    </r>
  </si>
  <si>
    <t>Observações</t>
  </si>
  <si>
    <r>
      <rPr>
        <rFont val="Arial MT"/>
        <color theme="1"/>
        <sz val="8.0"/>
      </rPr>
      <t>3.01.01.07.03.0012</t>
    </r>
  </si>
  <si>
    <r>
      <rPr>
        <rFont val="Arial MT"/>
        <color theme="1"/>
        <sz val="8.0"/>
      </rPr>
      <t>IRRF</t>
    </r>
  </si>
  <si>
    <t>Faturamento TO</t>
  </si>
  <si>
    <r>
      <rPr>
        <rFont val="Arial MT"/>
        <color theme="1"/>
        <sz val="8.0"/>
      </rPr>
      <t>3.01.01.07.03.0015</t>
    </r>
  </si>
  <si>
    <r>
      <rPr>
        <rFont val="Arial MT"/>
        <color theme="1"/>
        <sz val="8.0"/>
      </rPr>
      <t>Contribuição Sindical Assistencial</t>
    </r>
  </si>
  <si>
    <t>Fatuiramento Demais Atividades</t>
  </si>
  <si>
    <r>
      <rPr>
        <rFont val="Arial MT"/>
        <color theme="1"/>
        <sz val="8.0"/>
      </rPr>
      <t>070.04</t>
    </r>
  </si>
  <si>
    <r>
      <rPr>
        <rFont val="Arial MT"/>
        <color theme="1"/>
        <sz val="8.0"/>
      </rPr>
      <t>Resultado Financeiro</t>
    </r>
  </si>
  <si>
    <r>
      <rPr>
        <rFont val="Arial MT"/>
        <color theme="1"/>
        <sz val="8.0"/>
      </rPr>
      <t>070.04.01</t>
    </r>
  </si>
  <si>
    <r>
      <rPr>
        <rFont val="Arial MT"/>
        <color theme="1"/>
        <sz val="8.0"/>
      </rPr>
      <t>Receitas Financeiras</t>
    </r>
  </si>
  <si>
    <t>Representividade</t>
  </si>
  <si>
    <r>
      <rPr>
        <rFont val="Arial MT"/>
        <color theme="1"/>
        <sz val="8.0"/>
      </rPr>
      <t>3.01.01.05.01</t>
    </r>
  </si>
  <si>
    <r>
      <rPr>
        <rFont val="Arial MT"/>
        <color theme="1"/>
        <sz val="8.0"/>
      </rPr>
      <t>Receitas Financeiras</t>
    </r>
  </si>
  <si>
    <t>Consolidação/Mês</t>
  </si>
  <si>
    <t>%</t>
  </si>
  <si>
    <r>
      <rPr>
        <rFont val="Arial MT"/>
        <color theme="1"/>
        <sz val="8.0"/>
      </rPr>
      <t>3.01.01.05.01.0007</t>
    </r>
  </si>
  <si>
    <r>
      <rPr>
        <rFont val="Arial MT"/>
        <color theme="1"/>
        <sz val="8.0"/>
      </rPr>
      <t>Rendimentos Aplicações Financeiras</t>
    </r>
  </si>
  <si>
    <r>
      <rPr>
        <rFont val="Arial MT"/>
        <color theme="1"/>
        <sz val="8.0"/>
      </rPr>
      <t>070.04.02</t>
    </r>
  </si>
  <si>
    <r>
      <rPr>
        <rFont val="Arial MT"/>
        <color theme="1"/>
        <sz val="8.0"/>
      </rPr>
      <t>Despesas Financeiras</t>
    </r>
  </si>
  <si>
    <t>3.01.01.09.01</t>
  </si>
  <si>
    <r>
      <rPr>
        <rFont val="Arial MT"/>
        <color theme="1"/>
        <sz val="8.0"/>
      </rPr>
      <t>Despesas Financeiras</t>
    </r>
  </si>
  <si>
    <r>
      <rPr>
        <rFont val="Arial MT"/>
        <color theme="1"/>
        <sz val="8.0"/>
      </rPr>
      <t>3.01.01.09.01.0006</t>
    </r>
  </si>
  <si>
    <r>
      <rPr>
        <rFont val="Arial MT"/>
        <color theme="1"/>
        <sz val="8.0"/>
      </rPr>
      <t>Juros Pagos e/ou Incorridos</t>
    </r>
  </si>
  <si>
    <r>
      <rPr>
        <rFont val="Arial MT"/>
        <color theme="1"/>
        <sz val="8.0"/>
      </rPr>
      <t>3.01.01.09.01.0007</t>
    </r>
  </si>
  <si>
    <r>
      <rPr>
        <rFont val="Arial MT"/>
        <color theme="1"/>
        <sz val="8.0"/>
      </rPr>
      <t>Descontos Concedidos</t>
    </r>
  </si>
  <si>
    <r>
      <rPr>
        <rFont val="Arial MT"/>
        <color theme="1"/>
        <sz val="8.0"/>
      </rPr>
      <t>3.01.01.09.01.0008</t>
    </r>
  </si>
  <si>
    <r>
      <rPr>
        <rFont val="Arial MT"/>
        <color theme="1"/>
        <sz val="8.0"/>
      </rPr>
      <t>Juros, Comiss e Outras Desps Bancárias</t>
    </r>
  </si>
  <si>
    <t>Consolidação</t>
  </si>
  <si>
    <r>
      <rPr>
        <rFont val="Arial MT"/>
        <color theme="1"/>
        <sz val="8.0"/>
      </rPr>
      <t>3.01.01.09.01.0009</t>
    </r>
  </si>
  <si>
    <r>
      <rPr>
        <rFont val="Arial MT"/>
        <color theme="1"/>
        <sz val="8.0"/>
      </rPr>
      <t>IOF</t>
    </r>
  </si>
  <si>
    <r>
      <rPr>
        <rFont val="Arial MT"/>
        <color theme="1"/>
        <sz val="8.0"/>
      </rPr>
      <t>3.01.01.09.01.0011</t>
    </r>
  </si>
  <si>
    <r>
      <rPr>
        <rFont val="Arial MT"/>
        <color theme="1"/>
        <sz val="8.0"/>
      </rPr>
      <t>Tarifas Bancárias</t>
    </r>
  </si>
  <si>
    <r>
      <rPr>
        <rFont val="Arial MT"/>
        <color theme="1"/>
        <sz val="8.0"/>
      </rPr>
      <t>(=)  110</t>
    </r>
  </si>
  <si>
    <r>
      <rPr>
        <rFont val="Arial MT"/>
        <color theme="1"/>
        <sz val="8.0"/>
      </rPr>
      <t>Res. Antes das Participações e Contrib.</t>
    </r>
  </si>
  <si>
    <r>
      <rPr>
        <rFont val="Arial MT"/>
        <color theme="1"/>
        <sz val="8.0"/>
      </rPr>
      <t>(=)  150</t>
    </r>
  </si>
  <si>
    <r>
      <rPr>
        <rFont val="Arial MT"/>
        <color theme="1"/>
        <sz val="8.0"/>
      </rPr>
      <t>Res. Antes Imp.Renda e Contrib. Social</t>
    </r>
  </si>
  <si>
    <r>
      <rPr>
        <rFont val="Arial MT"/>
        <color theme="1"/>
        <sz val="8.0"/>
      </rPr>
      <t>(=)  200</t>
    </r>
  </si>
  <si>
    <r>
      <rPr>
        <rFont val="Arial MT"/>
        <color theme="1"/>
        <sz val="8.0"/>
      </rPr>
      <t>Resultado Líquido do Exercicio</t>
    </r>
  </si>
  <si>
    <t>Quantidade de PAX</t>
  </si>
  <si>
    <t>Cenario Pessimista</t>
  </si>
  <si>
    <t>CAPEX</t>
  </si>
  <si>
    <t>Valor</t>
  </si>
  <si>
    <t>Sul</t>
  </si>
  <si>
    <t>Nova Unidade</t>
  </si>
  <si>
    <r>
      <rPr>
        <rFont val="Arial MT"/>
        <color theme="1"/>
        <sz val="8.0"/>
      </rPr>
      <t>(=)  150</t>
    </r>
  </si>
  <si>
    <r>
      <rPr>
        <rFont val="Arial MT"/>
        <color theme="1"/>
        <sz val="8.0"/>
      </rPr>
      <t>Res. Antes Imp.Renda e Contrib. Social</t>
    </r>
  </si>
  <si>
    <t>Quant. de pacientes NPC</t>
  </si>
  <si>
    <t>Conta</t>
  </si>
  <si>
    <t>3.01.01.03</t>
  </si>
  <si>
    <t>Nov X Dez</t>
  </si>
  <si>
    <t>3.01.01.01.01</t>
  </si>
  <si>
    <t>3.01.01.01.01.0006</t>
  </si>
  <si>
    <t>Receita da Prestação de Serviços - Mercado I</t>
  </si>
  <si>
    <t>Custo por paciente</t>
  </si>
  <si>
    <t>3.01.01.01.03</t>
  </si>
  <si>
    <t>Quantidade PAX Unimed</t>
  </si>
  <si>
    <t>3.01.01.01.03.0003</t>
  </si>
  <si>
    <t>COFINS</t>
  </si>
  <si>
    <t>3.01.01.01.03.0005</t>
  </si>
  <si>
    <t>ISS</t>
  </si>
  <si>
    <t>Quant. de pacientes Life</t>
  </si>
  <si>
    <t>3.01.01.01.03.0004</t>
  </si>
  <si>
    <t>PIS/PASEP</t>
  </si>
  <si>
    <t>Quant. de pacientes Sul</t>
  </si>
  <si>
    <t>3.01.01.01</t>
  </si>
  <si>
    <t>Total</t>
  </si>
  <si>
    <t>Custo dos Serviços Produzidos</t>
  </si>
  <si>
    <t>Inicio da lista</t>
  </si>
  <si>
    <t>3.01.01.03.06.0060</t>
  </si>
  <si>
    <t>(-) Recuperação de custos</t>
  </si>
  <si>
    <t>13º Salário</t>
  </si>
  <si>
    <t>Queria que vc me mandasse essas informações:</t>
  </si>
  <si>
    <t>A Planilha de despesa que abriu lá com Raphael</t>
  </si>
  <si>
    <t>Variação PAX</t>
  </si>
  <si>
    <t>Valores a receber de outros planos até dia 20</t>
  </si>
  <si>
    <t>3.01.01.03.06.0014</t>
  </si>
  <si>
    <t>Custos até dia 20</t>
  </si>
  <si>
    <t>Alimentação do Trabalhador</t>
  </si>
  <si>
    <t>Planilha custos profissionais</t>
  </si>
  <si>
    <t>3.01.01.03.06.0047</t>
  </si>
  <si>
    <t>Assistência Médica e Odontológica</t>
  </si>
  <si>
    <t>Variação de PAX NPC</t>
  </si>
  <si>
    <t>3.01.01.03.06.0049</t>
  </si>
  <si>
    <t>Auxilio Creche</t>
  </si>
  <si>
    <t>Variação de PAX Life</t>
  </si>
  <si>
    <t>3.01.01.03.06.0057</t>
  </si>
  <si>
    <t>Aviso Prévio</t>
  </si>
  <si>
    <t>Variação de PAX Sul</t>
  </si>
  <si>
    <t>3.01.01.03.06.0055</t>
  </si>
  <si>
    <t>Férias s/rescisão</t>
  </si>
  <si>
    <t>3.01.01.03.06.0012</t>
  </si>
  <si>
    <t>FGTS</t>
  </si>
  <si>
    <t>3.01.01.03.06.0053</t>
  </si>
  <si>
    <t>FGTS Rescisão</t>
  </si>
  <si>
    <t>3.01.01.03.06.0052</t>
  </si>
  <si>
    <t>Hora extra</t>
  </si>
  <si>
    <t>Quantidade de Novos PAX</t>
  </si>
  <si>
    <t>Média</t>
  </si>
  <si>
    <t>3.01.01.03.06.0051</t>
  </si>
  <si>
    <t>Insalubridade</t>
  </si>
  <si>
    <t>3.01.01.03.06.0011</t>
  </si>
  <si>
    <t>INSS - Previdência Social</t>
  </si>
  <si>
    <t>3.01.01.03.06.0001</t>
  </si>
  <si>
    <t>Material Aplicado na Produção de Serviços</t>
  </si>
  <si>
    <t>3.01.01.03.06.0054</t>
  </si>
  <si>
    <t>Ordenados e Salários s/rescisão</t>
  </si>
  <si>
    <t>3.01.01.03.06.0040</t>
  </si>
  <si>
    <t>Ordenados, Salários e Gratificações</t>
  </si>
  <si>
    <t>3.01.01.03.06.0006</t>
  </si>
  <si>
    <t>Outros Gastos com Pessoal Ligado à Produçã</t>
  </si>
  <si>
    <t>3.01.01.03.06.0043</t>
  </si>
  <si>
    <t>3.01.01.03.06.0050</t>
  </si>
  <si>
    <t>Periculosidade</t>
  </si>
  <si>
    <t>Total saídas</t>
  </si>
  <si>
    <t>3.01.01.03.06.0048</t>
  </si>
  <si>
    <t>Rescisão de Contrato de Trabalho</t>
  </si>
  <si>
    <t>3.01.01.03.06.0058</t>
  </si>
  <si>
    <t>Serviços Clinicos e Hospitalares</t>
  </si>
  <si>
    <t>3.01.01.03.06.0008</t>
  </si>
  <si>
    <t>3.01.01.03.06.0045</t>
  </si>
  <si>
    <t>Vale Transporte</t>
  </si>
  <si>
    <t>Custo Operacional por PAX</t>
  </si>
  <si>
    <t>3.01.01.07</t>
  </si>
  <si>
    <t>3.01.01.07.01</t>
  </si>
  <si>
    <t>Despesas Operacionais das Atividades em Ger</t>
  </si>
  <si>
    <t>3.01.01.07.01.0098</t>
  </si>
  <si>
    <t>(-) Recuperação de despesas</t>
  </si>
  <si>
    <t>3.01.01.07.01.0044</t>
  </si>
  <si>
    <t>3.01.01.07.01.0049</t>
  </si>
  <si>
    <t>Água</t>
  </si>
  <si>
    <t>3.01.01.07.01.0024</t>
  </si>
  <si>
    <t>Aluguéis</t>
  </si>
  <si>
    <t>3.01.01.07.01.0080</t>
  </si>
  <si>
    <t>Aluguel de Maquinas e Equipamentos</t>
  </si>
  <si>
    <t>3.01.01.07.01.0037</t>
  </si>
  <si>
    <t>Assistência Médica, Odontológica e Farmacê</t>
  </si>
  <si>
    <t>3.01.01.07.01.0091</t>
  </si>
  <si>
    <t>3.01.01.07.01.0019</t>
  </si>
  <si>
    <t>3.01.01.07.01.0039</t>
  </si>
  <si>
    <t>Bens de Natureza Permanente Deduzidos co</t>
  </si>
  <si>
    <t>Cor: #1AAD95</t>
  </si>
  <si>
    <t>3.01.01.07.01.0054</t>
  </si>
  <si>
    <t>Aviso Previo</t>
  </si>
  <si>
    <t>#D2F8F3</t>
  </si>
  <si>
    <t>3.01.01.07.01.0057</t>
  </si>
  <si>
    <t>Condomínio</t>
  </si>
  <si>
    <t>3.01.01.07.01.0041</t>
  </si>
  <si>
    <t>Despesa com Viagens, Diárias e Ajuda de Cu</t>
  </si>
  <si>
    <t>3.01.01.07.01.0082</t>
  </si>
  <si>
    <t>Despesas c/ Informática</t>
  </si>
  <si>
    <t>3.01.01.07.01.0084</t>
  </si>
  <si>
    <t>Hora Extra</t>
  </si>
  <si>
    <t>3.01.01.07.01.0059</t>
  </si>
  <si>
    <t>Despesas C/Festas e Comemorações</t>
  </si>
  <si>
    <t>3.01.01.07.01.0081</t>
  </si>
  <si>
    <t>Despesas com Cartão de Crédito</t>
  </si>
  <si>
    <t>3.01.01.07.01.0030</t>
  </si>
  <si>
    <t>Encargos de Depreciação e Amortização</t>
  </si>
  <si>
    <t>3.01.01.07.01.0048</t>
  </si>
  <si>
    <t>Energia Elétrica</t>
  </si>
  <si>
    <t>3.01.01.07.01.0043</t>
  </si>
  <si>
    <t>3.01.01.07.01.0013</t>
  </si>
  <si>
    <t>3.01.01.07.01.0073</t>
  </si>
  <si>
    <t>Fretes</t>
  </si>
  <si>
    <t>3.01.01.07.01.0012</t>
  </si>
  <si>
    <t>3.01.01.07.01.0072</t>
  </si>
  <si>
    <t>Internet</t>
  </si>
  <si>
    <t>3.01.01.07.01.0064</t>
  </si>
  <si>
    <t>Manut Conservação e Limpeza</t>
  </si>
  <si>
    <t>3.01.01.07.01.0063</t>
  </si>
  <si>
    <t>Materiais de Consumo</t>
  </si>
  <si>
    <t>3.01.01.07.01.0065</t>
  </si>
  <si>
    <t>Cópias e Encadernações</t>
  </si>
  <si>
    <t>3.01.01.07.01.0052</t>
  </si>
  <si>
    <t>Fardamento</t>
  </si>
  <si>
    <t>3.01.01.07.01.0076</t>
  </si>
  <si>
    <t>Despesas Alimentícias</t>
  </si>
  <si>
    <t>3.01.01.07.01.0029</t>
  </si>
  <si>
    <t>Multas</t>
  </si>
  <si>
    <t>3.01.01.07.01.0003</t>
  </si>
  <si>
    <t>Ordenados, Salários, Gratif e Outras Remuner</t>
  </si>
  <si>
    <t>3.01.01.07.01.0042</t>
  </si>
  <si>
    <t>Outras Despesas Operacionais</t>
  </si>
  <si>
    <t>3.01.01.07.01.0007</t>
  </si>
  <si>
    <t>Outros Gastos com Pessoal</t>
  </si>
  <si>
    <t>3.01.01.07.01.0100</t>
  </si>
  <si>
    <t>Marketing</t>
  </si>
  <si>
    <t>3.01.01.07.01.0071</t>
  </si>
  <si>
    <t>Despesas C/Cartório</t>
  </si>
  <si>
    <t>3.01.01.07.01.0089</t>
  </si>
  <si>
    <t>Outras despesas com pessoal</t>
  </si>
  <si>
    <t>3.01.01.07.01.0088</t>
  </si>
  <si>
    <t>Serviços Gráficos</t>
  </si>
  <si>
    <t>3.01.01.07.01.0055</t>
  </si>
  <si>
    <t>Pró-labores</t>
  </si>
  <si>
    <t>3.01.01.07.01.0056</t>
  </si>
  <si>
    <t>Seguros Diversos</t>
  </si>
  <si>
    <t>3.01.01.07.01.0096</t>
  </si>
  <si>
    <t>Serviços de Advocacia</t>
  </si>
  <si>
    <t>3.01.01.07.01.0097</t>
  </si>
  <si>
    <t>Serviços de Processamento de Dados</t>
  </si>
  <si>
    <t>3.01.01.07.01.0095</t>
  </si>
  <si>
    <t>Serviços de Assessoria e Consultoria</t>
  </si>
  <si>
    <t>3.01.01.07.01.0099</t>
  </si>
  <si>
    <t>Fgts s/Rct</t>
  </si>
  <si>
    <t>3.01.01.07.01.0068</t>
  </si>
  <si>
    <t>Serviços de Contabilidade</t>
  </si>
  <si>
    <t>3.01.01.07.01.0036</t>
  </si>
  <si>
    <t>Serviços de Impressos e Gráficos</t>
  </si>
  <si>
    <t>3.01.01.07.01.0093</t>
  </si>
  <si>
    <t>Serviços de Informatica</t>
  </si>
  <si>
    <t>3.01.01.07.01.0040</t>
  </si>
  <si>
    <t>3.01.01.07.01.0094</t>
  </si>
  <si>
    <t>Serviços de Instrução e Treinamento</t>
  </si>
  <si>
    <t>3.01.01.07.01.0086</t>
  </si>
  <si>
    <t>Serviços de Segurança, Vigilancia e Monitora</t>
  </si>
  <si>
    <t>3.01.01.07.01.0075</t>
  </si>
  <si>
    <t>Despesas Diversas</t>
  </si>
  <si>
    <t>3.01.01.07.01.0066</t>
  </si>
  <si>
    <t>Materiais de Expediente</t>
  </si>
  <si>
    <t>3.01.01.07.01.0074</t>
  </si>
  <si>
    <t>Ordenados, Salários e Gratificações s/Rct</t>
  </si>
  <si>
    <t>3.01.01.07.01.0045</t>
  </si>
  <si>
    <t>Outros Gastos com Pessoal s/Rct</t>
  </si>
  <si>
    <t>3.01.01.07.01.0026</t>
  </si>
  <si>
    <t>3.01.01.07.01.0062</t>
  </si>
  <si>
    <t>Softwares</t>
  </si>
  <si>
    <t>3.01.01.07.01.0067</t>
  </si>
  <si>
    <t>Taxas e Emolumentos</t>
  </si>
  <si>
    <t>3.01.01.07.01.0050</t>
  </si>
  <si>
    <t>Telefones</t>
  </si>
  <si>
    <t>3.01.01.07.01.0051</t>
  </si>
  <si>
    <t>3.01.01.07.03</t>
  </si>
  <si>
    <t>Despesas Tributárias</t>
  </si>
  <si>
    <t>IRPJ - Lucro Presumido</t>
  </si>
  <si>
    <t>3.01.01.07.03.0002</t>
  </si>
  <si>
    <t>CSL - Lucro Presumido</t>
  </si>
  <si>
    <t>3.01.01.07.03.0019</t>
  </si>
  <si>
    <t>CSRF</t>
  </si>
  <si>
    <t>3.01.01.07.03.0015</t>
  </si>
  <si>
    <t>Contribuição Sindical Assistencial</t>
  </si>
  <si>
    <t>3.01.01.07.03.0004</t>
  </si>
  <si>
    <t>ICMS - Diferencial de Aliquota</t>
  </si>
  <si>
    <t>3.01.01.07.03.0011</t>
  </si>
  <si>
    <t>Impostos e Taxas Diversas</t>
  </si>
  <si>
    <t>3.01.01.07.03.0008</t>
  </si>
  <si>
    <t>IPTU</t>
  </si>
  <si>
    <t>3.01.01.07.03.0012</t>
  </si>
  <si>
    <t>IRRF</t>
  </si>
  <si>
    <t>3.01.01.07.04</t>
  </si>
  <si>
    <t>PROVISÃO DE FÉRIAS</t>
  </si>
  <si>
    <t>3.01.01.07.04.0001</t>
  </si>
  <si>
    <t>Provisão de férias</t>
  </si>
  <si>
    <t>3.01.01.07.04.0002</t>
  </si>
  <si>
    <t>INSS s/ provisão de férias</t>
  </si>
  <si>
    <t>3.01.01.07.04.0003</t>
  </si>
  <si>
    <t>FGTS s/ previsão de férias</t>
  </si>
  <si>
    <t>3.01.01.07.05</t>
  </si>
  <si>
    <t>PROVISÃO DE 13 SALÁRIO</t>
  </si>
  <si>
    <t>3.01.01.07.05.0003</t>
  </si>
  <si>
    <t>FGTS s/ provisão 13º salário</t>
  </si>
  <si>
    <t>3.01.01.07.05.0002</t>
  </si>
  <si>
    <t>INSS s/ provisão 13º salário</t>
  </si>
  <si>
    <t>3.01.01.07.05.0001</t>
  </si>
  <si>
    <t>Provisão de 13º salário</t>
  </si>
  <si>
    <t>3.01.01.09</t>
  </si>
  <si>
    <t>Despesas Financeiras</t>
  </si>
  <si>
    <t>3.01.01.09.01.0007</t>
  </si>
  <si>
    <t>Descontos Concedidos</t>
  </si>
  <si>
    <t>3.01.01.09.01.0009</t>
  </si>
  <si>
    <t>IOF</t>
  </si>
  <si>
    <t>3.01.01.09.01.0006</t>
  </si>
  <si>
    <t>Juros Pagos e/ou Incorridos</t>
  </si>
  <si>
    <t>3.01.01.09.01.0008</t>
  </si>
  <si>
    <t>Juros, Comiss e Outras Desps Bancárias</t>
  </si>
  <si>
    <t>3.01.01.09.01.0005</t>
  </si>
  <si>
    <t>Outras Despesas Financeiras</t>
  </si>
  <si>
    <t>3.01.01.09.01.0011</t>
  </si>
  <si>
    <t>Tarifas Bancárias</t>
  </si>
  <si>
    <t>3.01.01.05</t>
  </si>
  <si>
    <t>Outras Receitas Operacionais</t>
  </si>
  <si>
    <t>3.01.01.05.01</t>
  </si>
  <si>
    <t>Receitas Financeiras</t>
  </si>
  <si>
    <t>3.01.01.05.01.0005</t>
  </si>
  <si>
    <t>Outras Receitas Financeiras</t>
  </si>
  <si>
    <t>3.01.01.05.01.0006</t>
  </si>
  <si>
    <t>Juros e Desc Recebidos e/ou Auferidos</t>
  </si>
  <si>
    <t>3.01.01.05.01.0007</t>
  </si>
  <si>
    <t>Rendimentos Aplicações Financeiras</t>
  </si>
  <si>
    <t>3.01.01.05.02</t>
  </si>
  <si>
    <t>Outras Receitas</t>
  </si>
  <si>
    <t>3.01.01.05.02.0006</t>
  </si>
  <si>
    <t>Reversão dos Saldos das Provisões Operacion</t>
  </si>
  <si>
    <t>3.01.01.05.02.0011</t>
  </si>
  <si>
    <t>3.02</t>
  </si>
  <si>
    <t>3.02.01</t>
  </si>
  <si>
    <t>3.02.01.01</t>
  </si>
  <si>
    <t>3.02.01.01.01</t>
  </si>
  <si>
    <t>3.02.01.01.01.0001</t>
  </si>
  <si>
    <t>Contribuição Social sobre o Lucro Líquido</t>
  </si>
  <si>
    <t>3.02.01.01.01.0002</t>
  </si>
  <si>
    <t>Provisão para Imposto de Renda - Pessoa Ju</t>
  </si>
  <si>
    <t>3.01</t>
  </si>
  <si>
    <t>3.01.01</t>
  </si>
  <si>
    <t>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</si>
</sst>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_-;\-* #,##0_-;_-* &quot;-&quot;??_-;_-@"/>
    <numFmt numFmtId="165" formatCode="_-* #,##0.00_-;\-* #,##0.00_-;_-* &quot;-&quot;??_-;_-@"/>
    <numFmt numFmtId="166" formatCode="0.0%"/>
    <numFmt numFmtId="167" formatCode="_(* #,##0_);_(* \(#,##0\);_(* &quot;-&quot;??_);_(@_)"/>
    <numFmt numFmtId="168" formatCode="_-&quot;R$&quot;\ * #,##0.00_-;\-&quot;R$&quot;\ * #,##0.00_-;_-&quot;R$&quot;\ * &quot;-&quot;??_-;_-@"/>
    <numFmt numFmtId="169" formatCode="0.000%"/>
    <numFmt numFmtId="170" formatCode="0.0000"/>
    <numFmt numFmtId="171" formatCode="&quot;R$&quot;\ #,##0.00;[Red]\-&quot;R$&quot;\ #,##0.00"/>
  </numFmts>
  <fonts count="40">
    <font>
      <sz val="11.0"/>
      <color theme="1"/>
      <name val="Aptos Narrow"/>
      <scheme val="minor"/>
    </font>
    <font>
      <b/>
      <sz val="8.0"/>
      <color theme="1"/>
      <name val="Arial"/>
    </font>
    <font>
      <b/>
      <u/>
      <sz val="11.0"/>
      <color theme="1"/>
      <name val="Aptos Narrow"/>
    </font>
    <font>
      <b/>
      <sz val="12.0"/>
      <color rgb="FFFFFFFF"/>
      <name val="Calibri"/>
    </font>
    <font>
      <b/>
      <sz val="12.0"/>
      <color theme="1"/>
      <name val="Aptos Narrow"/>
    </font>
    <font>
      <sz val="11.0"/>
      <color rgb="FFFFFFFF"/>
      <name val="Arial"/>
    </font>
    <font>
      <b/>
      <sz val="12.0"/>
      <color rgb="FF000000"/>
      <name val="Calibri"/>
    </font>
    <font>
      <sz val="8.0"/>
      <color theme="1"/>
      <name val="Arial"/>
    </font>
    <font>
      <sz val="11.0"/>
      <color theme="1"/>
      <name val="Aptos Narrow"/>
    </font>
    <font>
      <sz val="8.0"/>
      <color rgb="FF000000"/>
      <name val="Arial"/>
    </font>
    <font>
      <color theme="1"/>
      <name val="Aptos Narrow"/>
      <scheme val="minor"/>
    </font>
    <font>
      <b/>
      <sz val="11.0"/>
      <color rgb="FFFFFFFF"/>
      <name val="Arial"/>
    </font>
    <font>
      <sz val="11.0"/>
      <color rgb="FF000000"/>
      <name val="Arial"/>
    </font>
    <font>
      <sz val="12.0"/>
      <color rgb="FF000000"/>
      <name val="Calibri"/>
    </font>
    <font/>
    <font>
      <sz val="8.0"/>
      <color rgb="FFFF0000"/>
      <name val="Arial"/>
    </font>
    <font>
      <b/>
      <sz val="10.0"/>
      <color theme="1"/>
      <name val="Calibri"/>
    </font>
    <font>
      <sz val="10.0"/>
      <color theme="1"/>
      <name val="Calibri"/>
    </font>
    <font>
      <b/>
      <sz val="8.0"/>
      <color rgb="FFFFFFFF"/>
      <name val="Arial"/>
    </font>
    <font>
      <sz val="11.0"/>
      <color rgb="FF000000"/>
      <name val="&quot;Aptos Narrow&quot;"/>
    </font>
    <font>
      <b/>
      <sz val="9.0"/>
      <color rgb="FFFFFFFF"/>
      <name val="Arial"/>
    </font>
    <font>
      <b/>
      <sz val="11.0"/>
      <color rgb="FF000000"/>
      <name val="&quot;Aptos Narrow&quot;"/>
    </font>
    <font>
      <sz val="11.0"/>
      <color theme="1"/>
      <name val="&quot;Aptos Narrow&quot;"/>
    </font>
    <font>
      <b/>
      <sz val="9.0"/>
      <color theme="1"/>
      <name val="&quot;Arial MT&quot;"/>
    </font>
    <font>
      <sz val="9.0"/>
      <color rgb="FF000000"/>
      <name val="&quot;Arial MT&quot;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b/>
      <sz val="8.0"/>
      <color rgb="FF000000"/>
      <name val="Arial"/>
    </font>
    <font>
      <b/>
      <sz val="8.0"/>
      <color theme="0"/>
      <name val="Arial"/>
    </font>
    <font>
      <b/>
      <sz val="11.0"/>
      <color rgb="FF000000"/>
      <name val="Aptos Narrow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b/>
      <color rgb="FF000000"/>
      <name val="&quot;Aptos Narrow&quot;"/>
    </font>
    <font>
      <sz val="8.0"/>
      <color rgb="FF000000"/>
      <name val="&quot;Aptos Narrow&quot;"/>
    </font>
    <font>
      <sz val="9.0"/>
      <color rgb="FF1AAD95"/>
      <name val="&quot;Arial MT&quot;"/>
    </font>
    <font>
      <color rgb="FF000000"/>
      <name val="&quot;Aptos Narrow&quot;"/>
    </font>
    <font>
      <sz val="10.0"/>
      <color theme="1"/>
      <name val="Aptos Narrow"/>
    </font>
    <font>
      <sz val="11.0"/>
      <color rgb="FFFF0000"/>
      <name val="Aptos Narrow"/>
    </font>
    <font>
      <b/>
      <sz val="11.0"/>
      <color theme="1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995D"/>
        <bgColor rgb="FF00995D"/>
      </patternFill>
    </fill>
    <fill>
      <patternFill patternType="solid">
        <fgColor rgb="FFD8D8D8"/>
        <bgColor rgb="FFD8D8D8"/>
      </patternFill>
    </fill>
    <fill>
      <patternFill patternType="solid">
        <fgColor rgb="FF1AAD95"/>
        <bgColor rgb="FF1AAD95"/>
      </patternFill>
    </fill>
    <fill>
      <patternFill patternType="solid">
        <fgColor rgb="FFF1F1F1"/>
        <bgColor rgb="FFF1F1F1"/>
      </patternFill>
    </fill>
    <fill>
      <patternFill patternType="solid">
        <fgColor rgb="FFFFFF00"/>
        <bgColor rgb="FFFFFF00"/>
      </patternFill>
    </fill>
    <fill>
      <patternFill patternType="solid">
        <fgColor rgb="FFD8E4BC"/>
        <bgColor rgb="FFD8E4BC"/>
      </patternFill>
    </fill>
    <fill>
      <patternFill patternType="solid">
        <fgColor rgb="FFD9D9D9"/>
        <bgColor rgb="FFD9D9D9"/>
      </patternFill>
    </fill>
    <fill>
      <patternFill patternType="solid">
        <fgColor rgb="FF9BBB59"/>
        <bgColor rgb="FF9BBB59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D2F8F3"/>
        <bgColor rgb="FFD2F8F3"/>
      </patternFill>
    </fill>
  </fills>
  <borders count="35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ck">
        <color rgb="FFFFFFFF"/>
      </right>
      <top style="thin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n">
        <color rgb="FFFFFFFF"/>
      </top>
      <bottom style="thick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000000"/>
      </top>
    </border>
    <border>
      <left/>
      <right/>
      <top/>
      <bottom/>
    </border>
    <border>
      <left style="thin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/>
      <right/>
      <top style="thin">
        <color rgb="FF000000"/>
      </top>
      <bottom/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rgb="FFFFFFFF"/>
      </left>
      <right style="thick">
        <color rgb="FFFFFFFF"/>
      </right>
      <top/>
      <bottom style="thick">
        <color rgb="FFFFFFFF"/>
      </bottom>
    </border>
    <border>
      <left/>
      <right/>
      <top/>
      <bottom style="thick">
        <color rgb="FF000000"/>
      </bottom>
    </border>
    <border>
      <left/>
      <right/>
      <top style="thick">
        <color rgb="FF000000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1AAD95"/>
      </left>
      <right style="thin">
        <color rgb="FF1AAD95"/>
      </right>
      <top style="thin">
        <color rgb="FF1AAD95"/>
      </top>
      <bottom style="thin">
        <color rgb="FF1AAD95"/>
      </bottom>
    </border>
    <border>
      <left style="thin">
        <color rgb="FF1AAD95"/>
      </left>
      <top style="thin">
        <color rgb="FF1AAD95"/>
      </top>
      <bottom style="thin">
        <color rgb="FF1AAD95"/>
      </bottom>
    </border>
    <border>
      <left style="thin">
        <color rgb="FFD2F8F3"/>
      </left>
      <right style="thin">
        <color rgb="FFD2F8F3"/>
      </right>
      <top style="thin">
        <color rgb="FFD2F8F3"/>
      </top>
    </border>
    <border>
      <left style="thin">
        <color rgb="FFD2F8F3"/>
      </left>
      <top style="thin">
        <color rgb="FFD2F8F3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2" fillId="2" fontId="1" numFmtId="0" xfId="0" applyAlignment="1" applyBorder="1" applyFont="1">
      <alignment horizontal="left" shrinkToFit="0" vertical="center" wrapText="1"/>
    </xf>
    <xf borderId="3" fillId="3" fontId="3" numFmtId="0" xfId="0" applyAlignment="1" applyBorder="1" applyFill="1" applyFont="1">
      <alignment horizontal="center" readingOrder="1" vertical="center"/>
    </xf>
    <xf borderId="2" fillId="2" fontId="1" numFmtId="0" xfId="0" applyAlignment="1" applyBorder="1" applyFont="1">
      <alignment horizontal="center" shrinkToFit="0" vertical="center" wrapText="1"/>
    </xf>
    <xf borderId="3" fillId="3" fontId="3" numFmtId="17" xfId="0" applyAlignment="1" applyBorder="1" applyFont="1" applyNumberFormat="1">
      <alignment horizontal="center" readingOrder="1" shrinkToFit="0" vertical="center" wrapText="1"/>
    </xf>
    <xf borderId="4" fillId="4" fontId="4" numFmtId="0" xfId="0" applyAlignment="1" applyBorder="1" applyFill="1" applyFont="1">
      <alignment horizontal="center"/>
    </xf>
    <xf borderId="3" fillId="3" fontId="3" numFmtId="0" xfId="0" applyAlignment="1" applyBorder="1" applyFont="1">
      <alignment horizontal="center" readingOrder="1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5" fontId="5" numFmtId="0" xfId="0" applyAlignment="1" applyBorder="1" applyFill="1" applyFont="1">
      <alignment horizontal="left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left" readingOrder="1" vertical="center"/>
    </xf>
    <xf borderId="8" fillId="0" fontId="7" numFmtId="0" xfId="0" applyAlignment="1" applyBorder="1" applyFont="1">
      <alignment horizontal="left" shrinkToFit="0" vertical="top" wrapText="1"/>
    </xf>
    <xf borderId="4" fillId="0" fontId="8" numFmtId="0" xfId="0" applyBorder="1" applyFont="1"/>
    <xf borderId="9" fillId="2" fontId="1" numFmtId="0" xfId="0" applyAlignment="1" applyBorder="1" applyFont="1">
      <alignment horizontal="center" shrinkToFit="0" vertical="center" wrapText="1"/>
    </xf>
    <xf borderId="8" fillId="0" fontId="7" numFmtId="164" xfId="0" applyAlignment="1" applyBorder="1" applyFont="1" applyNumberFormat="1">
      <alignment horizontal="left" shrinkToFit="0" vertical="top" wrapText="1"/>
    </xf>
    <xf borderId="8" fillId="0" fontId="9" numFmtId="164" xfId="0" applyAlignment="1" applyBorder="1" applyFont="1" applyNumberFormat="1">
      <alignment horizontal="right" shrinkToFit="1" vertical="top" wrapText="0"/>
    </xf>
    <xf borderId="0" fillId="0" fontId="10" numFmtId="0" xfId="0" applyFont="1"/>
    <xf borderId="0" fillId="0" fontId="9" numFmtId="164" xfId="0" applyAlignment="1" applyFont="1" applyNumberFormat="1">
      <alignment horizontal="right" shrinkToFit="1" vertical="top" wrapText="0"/>
    </xf>
    <xf borderId="4" fillId="0" fontId="8" numFmtId="0" xfId="0" applyAlignment="1" applyBorder="1" applyFont="1">
      <alignment vertical="center"/>
    </xf>
    <xf borderId="7" fillId="0" fontId="6" numFmtId="3" xfId="0" applyAlignment="1" applyBorder="1" applyFont="1" applyNumberFormat="1">
      <alignment horizontal="center" readingOrder="1" shrinkToFit="0" vertical="center" wrapText="1"/>
    </xf>
    <xf borderId="9" fillId="2" fontId="8" numFmtId="0" xfId="0" applyBorder="1" applyFont="1"/>
    <xf borderId="10" fillId="5" fontId="11" numFmtId="0" xfId="0" applyAlignment="1" applyBorder="1" applyFont="1">
      <alignment horizontal="left" vertical="center"/>
    </xf>
    <xf borderId="0" fillId="0" fontId="7" numFmtId="164" xfId="0" applyFont="1" applyNumberFormat="1"/>
    <xf borderId="4" fillId="0" fontId="8" numFmtId="165" xfId="0" applyAlignment="1" applyBorder="1" applyFont="1" applyNumberFormat="1">
      <alignment vertical="center"/>
    </xf>
    <xf borderId="11" fillId="6" fontId="12" numFmtId="3" xfId="0" applyAlignment="1" applyBorder="1" applyFill="1" applyFont="1" applyNumberFormat="1">
      <alignment horizontal="center" shrinkToFit="0" vertical="center" wrapText="1"/>
    </xf>
    <xf borderId="12" fillId="2" fontId="7" numFmtId="0" xfId="0" applyAlignment="1" applyBorder="1" applyFont="1">
      <alignment shrinkToFit="0" vertical="top" wrapText="1"/>
    </xf>
    <xf borderId="0" fillId="0" fontId="7" numFmtId="165" xfId="0" applyFont="1" applyNumberFormat="1"/>
    <xf borderId="12" fillId="7" fontId="7" numFmtId="0" xfId="0" applyAlignment="1" applyBorder="1" applyFill="1" applyFont="1">
      <alignment horizontal="left" shrinkToFit="0" vertical="top" wrapText="1"/>
    </xf>
    <xf borderId="7" fillId="0" fontId="13" numFmtId="0" xfId="0" applyAlignment="1" applyBorder="1" applyFont="1">
      <alignment horizontal="left" readingOrder="1" vertical="center"/>
    </xf>
    <xf borderId="12" fillId="2" fontId="7" numFmtId="164" xfId="0" applyAlignment="1" applyBorder="1" applyFont="1" applyNumberFormat="1">
      <alignment horizontal="left" shrinkToFit="0" vertical="top" wrapText="1"/>
    </xf>
    <xf borderId="12" fillId="2" fontId="9" numFmtId="164" xfId="0" applyAlignment="1" applyBorder="1" applyFont="1" applyNumberFormat="1">
      <alignment horizontal="right" shrinkToFit="1" vertical="top" wrapText="0"/>
    </xf>
    <xf borderId="0" fillId="0" fontId="8" numFmtId="165" xfId="0" applyFont="1" applyNumberFormat="1"/>
    <xf borderId="7" fillId="0" fontId="13" numFmtId="3" xfId="0" applyAlignment="1" applyBorder="1" applyFont="1" applyNumberFormat="1">
      <alignment horizontal="center" readingOrder="1" shrinkToFit="0" vertical="center" wrapText="1"/>
    </xf>
    <xf borderId="9" fillId="2" fontId="9" numFmtId="164" xfId="0" applyAlignment="1" applyBorder="1" applyFont="1" applyNumberFormat="1">
      <alignment horizontal="right" shrinkToFit="1" vertical="top" wrapText="0"/>
    </xf>
    <xf borderId="10" fillId="5" fontId="5" numFmtId="0" xfId="0" applyAlignment="1" applyBorder="1" applyFont="1">
      <alignment horizontal="left" vertical="center"/>
    </xf>
    <xf borderId="0" fillId="0" fontId="7" numFmtId="0" xfId="0" applyAlignment="1" applyFont="1">
      <alignment horizontal="left" shrinkToFit="0" vertical="top" wrapText="1"/>
    </xf>
    <xf borderId="9" fillId="2" fontId="7" numFmtId="164" xfId="0" applyBorder="1" applyFont="1" applyNumberFormat="1"/>
    <xf borderId="0" fillId="0" fontId="7" numFmtId="164" xfId="0" applyAlignment="1" applyFont="1" applyNumberFormat="1">
      <alignment horizontal="left" shrinkToFit="0" vertical="top" wrapText="1"/>
    </xf>
    <xf borderId="4" fillId="0" fontId="8" numFmtId="9" xfId="0" applyAlignment="1" applyBorder="1" applyFont="1" applyNumberFormat="1">
      <alignment vertical="center"/>
    </xf>
    <xf borderId="9" fillId="2" fontId="7" numFmtId="165" xfId="0" applyBorder="1" applyFont="1" applyNumberFormat="1"/>
    <xf borderId="0" fillId="0" fontId="7" numFmtId="0" xfId="0" applyAlignment="1" applyFont="1">
      <alignment horizontal="right" shrinkToFit="0" vertical="top" wrapText="1"/>
    </xf>
    <xf borderId="0" fillId="0" fontId="8" numFmtId="3" xfId="0" applyFont="1" applyNumberFormat="1"/>
    <xf borderId="9" fillId="2" fontId="7" numFmtId="0" xfId="0" applyAlignment="1" applyBorder="1" applyFont="1">
      <alignment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9" fillId="2" fontId="7" numFmtId="164" xfId="0" applyAlignment="1" applyBorder="1" applyFont="1" applyNumberFormat="1">
      <alignment horizontal="left" shrinkToFit="0" vertical="top" wrapText="1"/>
    </xf>
    <xf borderId="7" fillId="8" fontId="6" numFmtId="0" xfId="0" applyAlignment="1" applyBorder="1" applyFill="1" applyFont="1">
      <alignment horizontal="left" readingOrder="1" vertical="center"/>
    </xf>
    <xf borderId="7" fillId="8" fontId="6" numFmtId="166" xfId="0" applyAlignment="1" applyBorder="1" applyFont="1" applyNumberFormat="1">
      <alignment horizontal="center" readingOrder="1" shrinkToFit="0" vertical="center" wrapText="1"/>
    </xf>
    <xf borderId="4" fillId="0" fontId="8" numFmtId="164" xfId="0" applyAlignment="1" applyBorder="1" applyFont="1" applyNumberFormat="1">
      <alignment vertical="center"/>
    </xf>
    <xf borderId="13" fillId="5" fontId="5" numFmtId="0" xfId="0" applyAlignment="1" applyBorder="1" applyFont="1">
      <alignment horizontal="center" shrinkToFit="0" vertical="center" wrapText="1"/>
    </xf>
    <xf borderId="9" fillId="8" fontId="6" numFmtId="0" xfId="0" applyAlignment="1" applyBorder="1" applyFont="1">
      <alignment horizontal="left" readingOrder="1" vertical="center"/>
    </xf>
    <xf borderId="0" fillId="0" fontId="8" numFmtId="164" xfId="0" applyFont="1" applyNumberFormat="1"/>
    <xf borderId="9" fillId="8" fontId="6" numFmtId="166" xfId="0" applyAlignment="1" applyBorder="1" applyFont="1" applyNumberFormat="1">
      <alignment horizontal="center" readingOrder="1" shrinkToFit="0" vertical="center" wrapText="1"/>
    </xf>
    <xf borderId="4" fillId="0" fontId="8" numFmtId="3" xfId="0" applyAlignment="1" applyBorder="1" applyFont="1" applyNumberFormat="1">
      <alignment vertical="center"/>
    </xf>
    <xf borderId="14" fillId="0" fontId="14" numFmtId="0" xfId="0" applyBorder="1" applyFont="1"/>
    <xf borderId="15" fillId="5" fontId="5" numFmtId="0" xfId="0" applyAlignment="1" applyBorder="1" applyFont="1">
      <alignment vertical="center"/>
    </xf>
    <xf borderId="9" fillId="6" fontId="13" numFmtId="3" xfId="0" applyAlignment="1" applyBorder="1" applyFont="1" applyNumberFormat="1">
      <alignment horizontal="center" readingOrder="1" vertical="center"/>
    </xf>
    <xf borderId="9" fillId="8" fontId="6" numFmtId="167" xfId="0" applyAlignment="1" applyBorder="1" applyFont="1" applyNumberFormat="1">
      <alignment horizontal="left" readingOrder="1" shrinkToFit="0" vertical="center" wrapText="1"/>
    </xf>
    <xf borderId="7" fillId="8" fontId="6" numFmtId="167" xfId="0" applyAlignment="1" applyBorder="1" applyFont="1" applyNumberFormat="1">
      <alignment horizontal="left" readingOrder="1" shrinkToFit="0" vertical="center" wrapText="1"/>
    </xf>
    <xf borderId="10" fillId="5" fontId="5" numFmtId="0" xfId="0" applyAlignment="1" applyBorder="1" applyFont="1">
      <alignment vertical="center"/>
    </xf>
    <xf borderId="9" fillId="9" fontId="7" numFmtId="0" xfId="0" applyAlignment="1" applyBorder="1" applyFill="1" applyFont="1">
      <alignment horizontal="left" shrinkToFit="0" vertical="top" wrapText="1"/>
    </xf>
    <xf borderId="9" fillId="6" fontId="13" numFmtId="10" xfId="0" applyAlignment="1" applyBorder="1" applyFont="1" applyNumberFormat="1">
      <alignment horizontal="center" readingOrder="1" vertical="center"/>
    </xf>
    <xf borderId="9" fillId="9" fontId="7" numFmtId="164" xfId="0" applyAlignment="1" applyBorder="1" applyFont="1" applyNumberFormat="1">
      <alignment horizontal="left" shrinkToFit="0" vertical="top" wrapText="1"/>
    </xf>
    <xf borderId="9" fillId="6" fontId="13" numFmtId="9" xfId="0" applyAlignment="1" applyBorder="1" applyFont="1" applyNumberFormat="1">
      <alignment horizontal="center" readingOrder="1" vertical="center"/>
    </xf>
    <xf borderId="9" fillId="9" fontId="9" numFmtId="164" xfId="0" applyAlignment="1" applyBorder="1" applyFont="1" applyNumberFormat="1">
      <alignment horizontal="right" shrinkToFit="1" vertical="top" wrapText="0"/>
    </xf>
    <xf borderId="9" fillId="7" fontId="7" numFmtId="0" xfId="0" applyAlignment="1" applyBorder="1" applyFont="1">
      <alignment horizontal="left" shrinkToFit="0" vertical="top" wrapText="1"/>
    </xf>
    <xf borderId="4" fillId="0" fontId="8" numFmtId="2" xfId="0" applyAlignment="1" applyBorder="1" applyFont="1" applyNumberFormat="1">
      <alignment vertical="center"/>
    </xf>
    <xf borderId="9" fillId="7" fontId="7" numFmtId="164" xfId="0" applyAlignment="1" applyBorder="1" applyFont="1" applyNumberFormat="1">
      <alignment horizontal="left" shrinkToFit="0" vertical="top" wrapText="1"/>
    </xf>
    <xf borderId="9" fillId="7" fontId="9" numFmtId="164" xfId="0" applyAlignment="1" applyBorder="1" applyFont="1" applyNumberFormat="1">
      <alignment horizontal="right" shrinkToFit="1" vertical="top" wrapText="0"/>
    </xf>
    <xf borderId="0" fillId="0" fontId="8" numFmtId="10" xfId="0" applyFont="1" applyNumberFormat="1"/>
    <xf borderId="0" fillId="0" fontId="7" numFmtId="9" xfId="0" applyFont="1" applyNumberFormat="1"/>
    <xf borderId="9" fillId="6" fontId="13" numFmtId="166" xfId="0" applyAlignment="1" applyBorder="1" applyFont="1" applyNumberFormat="1">
      <alignment horizontal="center" readingOrder="1" vertical="center"/>
    </xf>
    <xf borderId="0" fillId="0" fontId="8" numFmtId="4" xfId="0" applyFont="1" applyNumberFormat="1"/>
    <xf borderId="16" fillId="10" fontId="3" numFmtId="0" xfId="0" applyAlignment="1" applyBorder="1" applyFill="1" applyFont="1">
      <alignment vertical="center"/>
    </xf>
    <xf borderId="16" fillId="10" fontId="3" numFmtId="0" xfId="0" applyAlignment="1" applyBorder="1" applyFont="1">
      <alignment horizontal="center" vertical="center"/>
    </xf>
    <xf borderId="17" fillId="11" fontId="6" numFmtId="0" xfId="0" applyAlignment="1" applyBorder="1" applyFill="1" applyFont="1">
      <alignment vertical="center"/>
    </xf>
    <xf borderId="17" fillId="11" fontId="6" numFmtId="3" xfId="0" applyAlignment="1" applyBorder="1" applyFont="1" applyNumberFormat="1">
      <alignment horizontal="center" readingOrder="1" vertical="center"/>
    </xf>
    <xf borderId="9" fillId="12" fontId="6" numFmtId="0" xfId="0" applyAlignment="1" applyBorder="1" applyFill="1" applyFont="1">
      <alignment vertical="center"/>
    </xf>
    <xf borderId="9" fillId="12" fontId="6" numFmtId="10" xfId="0" applyAlignment="1" applyBorder="1" applyFont="1" applyNumberFormat="1">
      <alignment horizontal="center" readingOrder="1" vertical="center"/>
    </xf>
    <xf borderId="9" fillId="12" fontId="6" numFmtId="0" xfId="0" applyAlignment="1" applyBorder="1" applyFont="1">
      <alignment horizontal="center" readingOrder="1" vertical="center"/>
    </xf>
    <xf borderId="9" fillId="11" fontId="6" numFmtId="0" xfId="0" applyAlignment="1" applyBorder="1" applyFont="1">
      <alignment vertical="center"/>
    </xf>
    <xf borderId="9" fillId="11" fontId="6" numFmtId="10" xfId="0" applyAlignment="1" applyBorder="1" applyFont="1" applyNumberFormat="1">
      <alignment horizontal="center" readingOrder="1" vertical="center"/>
    </xf>
    <xf borderId="9" fillId="11" fontId="6" numFmtId="0" xfId="0" applyAlignment="1" applyBorder="1" applyFont="1">
      <alignment horizontal="center" readingOrder="1" vertical="center"/>
    </xf>
    <xf borderId="9" fillId="12" fontId="6" numFmtId="3" xfId="0" applyAlignment="1" applyBorder="1" applyFont="1" applyNumberFormat="1">
      <alignment horizontal="center" readingOrder="1" vertical="center"/>
    </xf>
    <xf borderId="7" fillId="8" fontId="6" numFmtId="167" xfId="0" applyAlignment="1" applyBorder="1" applyFont="1" applyNumberFormat="1">
      <alignment horizontal="left" readingOrder="1" shrinkToFit="0" vertical="center" wrapText="1"/>
    </xf>
    <xf borderId="12" fillId="2" fontId="7" numFmtId="0" xfId="0" applyAlignment="1" applyBorder="1" applyFont="1">
      <alignment horizontal="left" shrinkToFit="0" vertical="top" wrapText="1"/>
    </xf>
    <xf borderId="9" fillId="11" fontId="6" numFmtId="3" xfId="0" applyAlignment="1" applyBorder="1" applyFont="1" applyNumberFormat="1">
      <alignment horizontal="center" readingOrder="1" vertical="center"/>
    </xf>
    <xf borderId="16" fillId="12" fontId="6" numFmtId="0" xfId="0" applyAlignment="1" applyBorder="1" applyFont="1">
      <alignment vertical="center"/>
    </xf>
    <xf borderId="16" fillId="12" fontId="6" numFmtId="10" xfId="0" applyAlignment="1" applyBorder="1" applyFont="1" applyNumberFormat="1">
      <alignment horizontal="center" readingOrder="1" vertical="center"/>
    </xf>
    <xf borderId="9" fillId="7" fontId="15" numFmtId="164" xfId="0" applyAlignment="1" applyBorder="1" applyFont="1" applyNumberFormat="1">
      <alignment horizontal="left" shrinkToFit="0" vertical="top" wrapText="1"/>
    </xf>
    <xf borderId="16" fillId="12" fontId="6" numFmtId="0" xfId="0" applyAlignment="1" applyBorder="1" applyFont="1">
      <alignment horizontal="center" readingOrder="1" vertical="center"/>
    </xf>
    <xf borderId="9" fillId="2" fontId="1" numFmtId="165" xfId="0" applyBorder="1" applyFont="1" applyNumberFormat="1"/>
    <xf borderId="9" fillId="2" fontId="7" numFmtId="9" xfId="0" applyBorder="1" applyFont="1" applyNumberFormat="1"/>
    <xf borderId="9" fillId="2" fontId="8" numFmtId="164" xfId="0" applyBorder="1" applyFont="1" applyNumberFormat="1"/>
    <xf borderId="9" fillId="2" fontId="9" numFmtId="168" xfId="0" applyAlignment="1" applyBorder="1" applyFont="1" applyNumberFormat="1">
      <alignment horizontal="right" shrinkToFit="1" vertical="top" wrapText="0"/>
    </xf>
    <xf borderId="18" fillId="0" fontId="16" numFmtId="0" xfId="0" applyBorder="1" applyFont="1"/>
    <xf borderId="18" fillId="0" fontId="17" numFmtId="0" xfId="0" applyBorder="1" applyFont="1"/>
    <xf borderId="18" fillId="0" fontId="8" numFmtId="0" xfId="0" applyBorder="1" applyFont="1"/>
    <xf borderId="0" fillId="0" fontId="1" numFmtId="165" xfId="0" applyFont="1" applyNumberFormat="1"/>
    <xf borderId="7" fillId="5" fontId="18" numFmtId="0" xfId="0" applyAlignment="1" applyBorder="1" applyFont="1">
      <alignment horizontal="center" readingOrder="0"/>
    </xf>
    <xf borderId="7" fillId="5" fontId="18" numFmtId="17" xfId="0" applyAlignment="1" applyBorder="1" applyFont="1" applyNumberFormat="1">
      <alignment horizontal="center" readingOrder="0"/>
    </xf>
    <xf borderId="7" fillId="12" fontId="19" numFmtId="0" xfId="0" applyAlignment="1" applyBorder="1" applyFont="1">
      <alignment shrinkToFit="0" vertical="bottom" wrapText="0"/>
    </xf>
    <xf borderId="7" fillId="12" fontId="19" numFmtId="164" xfId="0" applyAlignment="1" applyBorder="1" applyFont="1" applyNumberFormat="1">
      <alignment shrinkToFit="0" vertical="bottom" wrapText="0"/>
    </xf>
    <xf borderId="0" fillId="5" fontId="20" numFmtId="0" xfId="0" applyAlignment="1" applyFont="1">
      <alignment horizontal="left" readingOrder="0" shrinkToFit="0" wrapText="0"/>
    </xf>
    <xf borderId="9" fillId="7" fontId="8" numFmtId="0" xfId="0" applyBorder="1" applyFont="1"/>
    <xf borderId="0" fillId="5" fontId="20" numFmtId="168" xfId="0" applyAlignment="1" applyFont="1" applyNumberFormat="1">
      <alignment horizontal="center" readingOrder="0" shrinkToFit="0" wrapText="0"/>
    </xf>
    <xf borderId="9" fillId="7" fontId="7" numFmtId="164" xfId="0" applyBorder="1" applyFont="1" applyNumberFormat="1"/>
    <xf borderId="9" fillId="7" fontId="7" numFmtId="165" xfId="0" applyBorder="1" applyFont="1" applyNumberFormat="1"/>
    <xf borderId="0" fillId="12" fontId="19" numFmtId="0" xfId="0" applyAlignment="1" applyFont="1">
      <alignment shrinkToFit="0" vertical="bottom" wrapText="0"/>
    </xf>
    <xf borderId="0" fillId="5" fontId="18" numFmtId="0" xfId="0" applyAlignment="1" applyFont="1">
      <alignment horizontal="center" readingOrder="0"/>
    </xf>
    <xf borderId="0" fillId="5" fontId="20" numFmtId="0" xfId="0" applyAlignment="1" applyFont="1">
      <alignment horizontal="center" readingOrder="0" shrinkToFit="0" wrapText="0"/>
    </xf>
    <xf borderId="7" fillId="13" fontId="21" numFmtId="0" xfId="0" applyAlignment="1" applyBorder="1" applyFill="1" applyFont="1">
      <alignment readingOrder="0" shrinkToFit="0" vertical="bottom" wrapText="0"/>
    </xf>
    <xf borderId="7" fillId="13" fontId="19" numFmtId="164" xfId="0" applyAlignment="1" applyBorder="1" applyFont="1" applyNumberFormat="1">
      <alignment readingOrder="0" shrinkToFit="0" vertical="bottom" wrapText="0"/>
    </xf>
    <xf borderId="7" fillId="13" fontId="22" numFmtId="164" xfId="0" applyAlignment="1" applyBorder="1" applyFont="1" applyNumberFormat="1">
      <alignment readingOrder="0" shrinkToFit="0" vertical="bottom" wrapText="0"/>
    </xf>
    <xf borderId="0" fillId="13" fontId="23" numFmtId="0" xfId="0" applyAlignment="1" applyFont="1">
      <alignment horizontal="left" readingOrder="0" shrinkToFit="0" vertical="top" wrapText="0"/>
    </xf>
    <xf borderId="0" fillId="13" fontId="24" numFmtId="164" xfId="0" applyAlignment="1" applyFont="1" applyNumberFormat="1">
      <alignment horizontal="center" readingOrder="0" shrinkToFit="0" wrapText="0"/>
    </xf>
    <xf borderId="0" fillId="13" fontId="24" numFmtId="164" xfId="0" applyAlignment="1" applyFont="1" applyNumberFormat="1">
      <alignment horizontal="center" shrinkToFit="0" wrapText="0"/>
    </xf>
    <xf borderId="0" fillId="12" fontId="21" numFmtId="164" xfId="0" applyAlignment="1" applyFont="1" applyNumberFormat="1">
      <alignment horizontal="left" readingOrder="0" shrinkToFit="0" wrapText="0"/>
    </xf>
    <xf borderId="0" fillId="12" fontId="25" numFmtId="164" xfId="0" applyAlignment="1" applyFont="1" applyNumberFormat="1">
      <alignment horizontal="center" readingOrder="0" shrinkToFit="0" wrapText="0"/>
    </xf>
    <xf borderId="0" fillId="12" fontId="26" numFmtId="3" xfId="0" applyAlignment="1" applyFont="1" applyNumberFormat="1">
      <alignment horizontal="center" readingOrder="0" shrinkToFit="0" wrapText="0"/>
    </xf>
    <xf borderId="0" fillId="12" fontId="19" numFmtId="0" xfId="0" applyAlignment="1" applyFont="1">
      <alignment horizontal="center" readingOrder="0" shrinkToFit="0" wrapText="0"/>
    </xf>
    <xf borderId="0" fillId="13" fontId="23" numFmtId="164" xfId="0" applyAlignment="1" applyFont="1" applyNumberFormat="1">
      <alignment horizontal="left" readingOrder="0" shrinkToFit="0" vertical="top" wrapText="0"/>
    </xf>
    <xf borderId="0" fillId="13" fontId="24" numFmtId="2" xfId="0" applyAlignment="1" applyFont="1" applyNumberFormat="1">
      <alignment horizontal="center" readingOrder="0" shrinkToFit="0" wrapText="0"/>
    </xf>
    <xf borderId="0" fillId="13" fontId="24" numFmtId="10" xfId="0" applyAlignment="1" applyFont="1" applyNumberFormat="1">
      <alignment horizontal="center" readingOrder="0" shrinkToFit="0" wrapText="0"/>
    </xf>
    <xf borderId="0" fillId="12" fontId="19" numFmtId="0" xfId="0" applyAlignment="1" applyFont="1">
      <alignment shrinkToFit="0" vertical="bottom" wrapText="0"/>
    </xf>
    <xf borderId="19" fillId="9" fontId="7" numFmtId="0" xfId="0" applyAlignment="1" applyBorder="1" applyFont="1">
      <alignment horizontal="left" shrinkToFit="0" vertical="top" wrapText="1"/>
    </xf>
    <xf borderId="19" fillId="9" fontId="7" numFmtId="164" xfId="0" applyAlignment="1" applyBorder="1" applyFont="1" applyNumberFormat="1">
      <alignment horizontal="left" shrinkToFit="0" vertical="top" wrapText="1"/>
    </xf>
    <xf borderId="19" fillId="9" fontId="9" numFmtId="164" xfId="0" applyAlignment="1" applyBorder="1" applyFont="1" applyNumberFormat="1">
      <alignment horizontal="right" shrinkToFit="1" vertical="top" wrapText="0"/>
    </xf>
    <xf borderId="0" fillId="12" fontId="23" numFmtId="0" xfId="0" applyAlignment="1" applyFont="1">
      <alignment horizontal="left" readingOrder="0" shrinkToFit="0" vertical="top" wrapText="0"/>
    </xf>
    <xf borderId="0" fillId="12" fontId="24" numFmtId="164" xfId="0" applyAlignment="1" applyFont="1" applyNumberFormat="1">
      <alignment horizontal="center" readingOrder="0" shrinkToFit="0" wrapText="0"/>
    </xf>
    <xf borderId="0" fillId="0" fontId="27" numFmtId="164" xfId="0" applyAlignment="1" applyFont="1" applyNumberFormat="1">
      <alignment horizontal="right" shrinkToFit="1" vertical="top" wrapText="0"/>
    </xf>
    <xf borderId="0" fillId="12" fontId="24" numFmtId="164" xfId="0" applyAlignment="1" applyFont="1" applyNumberFormat="1">
      <alignment horizontal="center" shrinkToFit="0" wrapText="0"/>
    </xf>
    <xf borderId="0" fillId="12" fontId="21" numFmtId="164" xfId="0" applyAlignment="1" applyFont="1" applyNumberFormat="1">
      <alignment horizontal="left" shrinkToFit="0" wrapText="0"/>
    </xf>
    <xf borderId="0" fillId="12" fontId="19" numFmtId="164" xfId="0" applyAlignment="1" applyFont="1" applyNumberFormat="1">
      <alignment horizontal="center" readingOrder="0" shrinkToFit="0" wrapText="0"/>
    </xf>
    <xf borderId="0" fillId="12" fontId="19" numFmtId="3" xfId="0" applyAlignment="1" applyFont="1" applyNumberFormat="1">
      <alignment horizontal="center" readingOrder="0" shrinkToFit="0" wrapText="0"/>
    </xf>
    <xf borderId="0" fillId="12" fontId="19" numFmtId="0" xfId="0" applyAlignment="1" applyFont="1">
      <alignment horizontal="center" shrinkToFit="0" wrapText="0"/>
    </xf>
    <xf borderId="0" fillId="12" fontId="19" numFmtId="0" xfId="0" applyAlignment="1" applyFont="1">
      <alignment horizontal="center" shrinkToFit="0" wrapText="0"/>
    </xf>
    <xf borderId="0" fillId="12" fontId="23" numFmtId="164" xfId="0" applyAlignment="1" applyFont="1" applyNumberFormat="1">
      <alignment horizontal="left" readingOrder="0" shrinkToFit="0" vertical="top" wrapText="0"/>
    </xf>
    <xf borderId="0" fillId="12" fontId="24" numFmtId="2" xfId="0" applyAlignment="1" applyFont="1" applyNumberFormat="1">
      <alignment horizontal="center" readingOrder="0" shrinkToFit="0" wrapText="0"/>
    </xf>
    <xf borderId="0" fillId="12" fontId="24" numFmtId="10" xfId="0" applyAlignment="1" applyFont="1" applyNumberFormat="1">
      <alignment horizontal="center" readingOrder="0" shrinkToFit="0" wrapText="0"/>
    </xf>
    <xf borderId="0" fillId="0" fontId="1" numFmtId="0" xfId="0" applyFont="1"/>
    <xf borderId="20" fillId="5" fontId="28" numFmtId="0" xfId="0" applyAlignment="1" applyBorder="1" applyFont="1">
      <alignment horizontal="center" shrinkToFit="0" vertical="center" wrapText="1"/>
    </xf>
    <xf borderId="20" fillId="5" fontId="28" numFmtId="17" xfId="0" applyAlignment="1" applyBorder="1" applyFont="1" applyNumberFormat="1">
      <alignment horizontal="center" shrinkToFit="0" vertical="center" wrapText="1"/>
    </xf>
    <xf borderId="2" fillId="5" fontId="28" numFmtId="168" xfId="0" applyAlignment="1" applyBorder="1" applyFont="1" applyNumberFormat="1">
      <alignment horizontal="center" vertical="center"/>
    </xf>
    <xf borderId="20" fillId="13" fontId="29" numFmtId="0" xfId="0" applyBorder="1" applyFont="1"/>
    <xf borderId="0" fillId="13" fontId="21" numFmtId="164" xfId="0" applyAlignment="1" applyFont="1" applyNumberFormat="1">
      <alignment horizontal="left" readingOrder="0" shrinkToFit="0" wrapText="0"/>
    </xf>
    <xf borderId="20" fillId="13" fontId="8" numFmtId="164" xfId="0" applyBorder="1" applyFont="1" applyNumberFormat="1"/>
    <xf borderId="0" fillId="13" fontId="30" numFmtId="164" xfId="0" applyAlignment="1" applyFont="1" applyNumberFormat="1">
      <alignment horizontal="center" readingOrder="0" shrinkToFit="0" wrapText="0"/>
    </xf>
    <xf borderId="0" fillId="13" fontId="31" numFmtId="2" xfId="0" applyAlignment="1" applyFont="1" applyNumberFormat="1">
      <alignment horizontal="center" readingOrder="0" shrinkToFit="0" wrapText="0"/>
    </xf>
    <xf borderId="0" fillId="13" fontId="19" numFmtId="0" xfId="0" applyAlignment="1" applyFont="1">
      <alignment horizontal="center" readingOrder="0" shrinkToFit="0" wrapText="0"/>
    </xf>
    <xf borderId="7" fillId="12" fontId="19" numFmtId="9" xfId="0" applyAlignment="1" applyBorder="1" applyFont="1" applyNumberFormat="1">
      <alignment horizontal="right" readingOrder="0" shrinkToFit="0" vertical="bottom" wrapText="0"/>
    </xf>
    <xf borderId="20" fillId="0" fontId="29" numFmtId="0" xfId="0" applyBorder="1" applyFont="1"/>
    <xf borderId="20" fillId="2" fontId="8" numFmtId="164" xfId="0" applyBorder="1" applyFont="1" applyNumberFormat="1"/>
    <xf borderId="0" fillId="13" fontId="21" numFmtId="164" xfId="0" applyAlignment="1" applyFont="1" applyNumberFormat="1">
      <alignment horizontal="left" shrinkToFit="0" wrapText="0"/>
    </xf>
    <xf borderId="0" fillId="13" fontId="19" numFmtId="164" xfId="0" applyAlignment="1" applyFont="1" applyNumberFormat="1">
      <alignment horizontal="center" readingOrder="0" shrinkToFit="0" wrapText="0"/>
    </xf>
    <xf borderId="0" fillId="13" fontId="19" numFmtId="2" xfId="0" applyAlignment="1" applyFont="1" applyNumberFormat="1">
      <alignment horizontal="center" readingOrder="0" shrinkToFit="0" wrapText="0"/>
    </xf>
    <xf borderId="0" fillId="13" fontId="19" numFmtId="0" xfId="0" applyAlignment="1" applyFont="1">
      <alignment horizontal="center" shrinkToFit="0" wrapText="0"/>
    </xf>
    <xf borderId="0" fillId="13" fontId="19" numFmtId="0" xfId="0" applyAlignment="1" applyFont="1">
      <alignment horizontal="center" shrinkToFit="0" wrapText="0"/>
    </xf>
    <xf borderId="7" fillId="12" fontId="19" numFmtId="9" xfId="0" applyAlignment="1" applyBorder="1" applyFont="1" applyNumberFormat="1">
      <alignment shrinkToFit="0" vertical="bottom" wrapText="0"/>
    </xf>
    <xf borderId="0" fillId="0" fontId="8" numFmtId="169" xfId="0" applyFont="1" applyNumberFormat="1"/>
    <xf borderId="0" fillId="0" fontId="8" numFmtId="170" xfId="0" applyFont="1" applyNumberFormat="1"/>
    <xf borderId="0" fillId="12" fontId="21" numFmtId="164" xfId="0" applyAlignment="1" applyFont="1" applyNumberFormat="1">
      <alignment readingOrder="0" shrinkToFit="0" wrapText="0"/>
    </xf>
    <xf borderId="0" fillId="12" fontId="32" numFmtId="2" xfId="0" applyAlignment="1" applyFont="1" applyNumberFormat="1">
      <alignment horizontal="center" readingOrder="0" shrinkToFit="0" wrapText="0"/>
    </xf>
    <xf borderId="0" fillId="13" fontId="24" numFmtId="2" xfId="0" applyAlignment="1" applyFont="1" applyNumberFormat="1">
      <alignment horizontal="center" shrinkToFit="0" wrapText="0"/>
    </xf>
    <xf borderId="21" fillId="5" fontId="20" numFmtId="0" xfId="0" applyAlignment="1" applyBorder="1" applyFont="1">
      <alignment horizontal="center" readingOrder="0"/>
    </xf>
    <xf borderId="21" fillId="5" fontId="18" numFmtId="0" xfId="0" applyAlignment="1" applyBorder="1" applyFont="1">
      <alignment horizontal="center" readingOrder="0"/>
    </xf>
    <xf borderId="22" fillId="5" fontId="18" numFmtId="0" xfId="0" applyAlignment="1" applyBorder="1" applyFont="1">
      <alignment horizontal="center" readingOrder="0"/>
    </xf>
    <xf borderId="7" fillId="12" fontId="19" numFmtId="0" xfId="0" applyAlignment="1" applyBorder="1" applyFont="1">
      <alignment horizontal="right" readingOrder="0" shrinkToFit="0" vertical="bottom" wrapText="0"/>
    </xf>
    <xf borderId="7" fillId="12" fontId="19" numFmtId="164" xfId="0" applyAlignment="1" applyBorder="1" applyFont="1" applyNumberFormat="1">
      <alignment readingOrder="0" shrinkToFit="0" vertical="bottom" wrapText="0"/>
    </xf>
    <xf borderId="0" fillId="12" fontId="21" numFmtId="164" xfId="0" applyAlignment="1" applyFont="1" applyNumberFormat="1">
      <alignment shrinkToFit="0" wrapText="0"/>
    </xf>
    <xf borderId="0" fillId="12" fontId="19" numFmtId="2" xfId="0" applyAlignment="1" applyFont="1" applyNumberFormat="1">
      <alignment horizontal="center" readingOrder="0" shrinkToFit="0" wrapText="0"/>
    </xf>
    <xf borderId="0" fillId="12" fontId="19" numFmtId="164" xfId="0" applyAlignment="1" applyFont="1" applyNumberFormat="1">
      <alignment shrinkToFit="0" vertical="bottom" wrapText="0"/>
    </xf>
    <xf borderId="0" fillId="12" fontId="19" numFmtId="2" xfId="0" applyAlignment="1" applyFont="1" applyNumberFormat="1">
      <alignment shrinkToFit="0" vertical="bottom" wrapText="0"/>
    </xf>
    <xf borderId="23" fillId="13" fontId="33" numFmtId="0" xfId="0" applyAlignment="1" applyBorder="1" applyFont="1">
      <alignment horizontal="center" readingOrder="0" shrinkToFit="0" vertical="bottom" wrapText="0"/>
    </xf>
    <xf borderId="23" fillId="13" fontId="19" numFmtId="164" xfId="0" applyAlignment="1" applyBorder="1" applyFont="1" applyNumberFormat="1">
      <alignment readingOrder="0" shrinkToFit="0" vertical="bottom" wrapText="0"/>
    </xf>
    <xf borderId="24" fillId="13" fontId="19" numFmtId="164" xfId="0" applyAlignment="1" applyBorder="1" applyFont="1" applyNumberFormat="1">
      <alignment readingOrder="0" shrinkToFit="0" vertical="bottom" wrapText="0"/>
    </xf>
    <xf borderId="7" fillId="12" fontId="19" numFmtId="10" xfId="0" applyAlignment="1" applyBorder="1" applyFont="1" applyNumberFormat="1">
      <alignment shrinkToFit="0" vertical="bottom" wrapText="0"/>
    </xf>
    <xf borderId="7" fillId="0" fontId="33" numFmtId="0" xfId="0" applyAlignment="1" applyBorder="1" applyFont="1">
      <alignment horizontal="center" readingOrder="0" shrinkToFit="0" vertical="bottom" wrapText="0"/>
    </xf>
    <xf borderId="7" fillId="12" fontId="19" numFmtId="0" xfId="0" applyAlignment="1" applyBorder="1" applyFont="1">
      <alignment shrinkToFit="0" vertical="bottom" wrapText="0"/>
    </xf>
    <xf borderId="7" fillId="12" fontId="19" numFmtId="166" xfId="0" applyAlignment="1" applyBorder="1" applyFont="1" applyNumberFormat="1">
      <alignment shrinkToFit="0" vertical="bottom" wrapText="0"/>
    </xf>
    <xf borderId="9" fillId="5" fontId="28" numFmtId="0" xfId="0" applyAlignment="1" applyBorder="1" applyFont="1">
      <alignment horizontal="center" vertical="center"/>
    </xf>
    <xf borderId="9" fillId="5" fontId="28" numFmtId="168" xfId="0" applyAlignment="1" applyBorder="1" applyFont="1" applyNumberFormat="1">
      <alignment horizontal="center" vertical="center"/>
    </xf>
    <xf borderId="7" fillId="5" fontId="18" numFmtId="164" xfId="0" applyAlignment="1" applyBorder="1" applyFont="1" applyNumberFormat="1">
      <alignment horizontal="center" readingOrder="0"/>
    </xf>
    <xf borderId="9" fillId="13" fontId="1" numFmtId="0" xfId="0" applyAlignment="1" applyBorder="1" applyFont="1">
      <alignment horizontal="left" vertical="top"/>
    </xf>
    <xf borderId="7" fillId="12" fontId="34" numFmtId="168" xfId="0" applyAlignment="1" applyBorder="1" applyFont="1" applyNumberFormat="1">
      <alignment horizontal="center" shrinkToFit="0" vertical="bottom" wrapText="0"/>
    </xf>
    <xf borderId="9" fillId="13" fontId="7" numFmtId="9" xfId="0" applyAlignment="1" applyBorder="1" applyFont="1" applyNumberFormat="1">
      <alignment horizontal="center" vertical="center"/>
    </xf>
    <xf borderId="7" fillId="12" fontId="19" numFmtId="168" xfId="0" applyAlignment="1" applyBorder="1" applyFont="1" applyNumberFormat="1">
      <alignment horizontal="center" shrinkToFit="0" vertical="bottom" wrapText="0"/>
    </xf>
    <xf borderId="7" fillId="12" fontId="19" numFmtId="168" xfId="0" applyAlignment="1" applyBorder="1" applyFont="1" applyNumberFormat="1">
      <alignment shrinkToFit="0" vertical="bottom" wrapText="0"/>
    </xf>
    <xf borderId="9" fillId="13" fontId="7" numFmtId="10" xfId="0" applyAlignment="1" applyBorder="1" applyFont="1" applyNumberFormat="1">
      <alignment horizontal="center" vertical="center"/>
    </xf>
    <xf borderId="7" fillId="13" fontId="19" numFmtId="164" xfId="0" applyAlignment="1" applyBorder="1" applyFont="1" applyNumberFormat="1">
      <alignment shrinkToFit="0" vertical="bottom" wrapText="0"/>
    </xf>
    <xf borderId="9" fillId="2" fontId="1" numFmtId="0" xfId="0" applyAlignment="1" applyBorder="1" applyFont="1">
      <alignment horizontal="left" vertical="top"/>
    </xf>
    <xf borderId="9" fillId="2" fontId="7" numFmtId="164" xfId="0" applyAlignment="1" applyBorder="1" applyFont="1" applyNumberFormat="1">
      <alignment horizontal="center" vertical="center"/>
    </xf>
    <xf borderId="7" fillId="0" fontId="21" numFmtId="0" xfId="0" applyAlignment="1" applyBorder="1" applyFont="1">
      <alignment readingOrder="0" shrinkToFit="0" vertical="bottom" wrapText="0"/>
    </xf>
    <xf borderId="0" fillId="13" fontId="24" numFmtId="9" xfId="0" applyAlignment="1" applyFont="1" applyNumberFormat="1">
      <alignment horizontal="center" readingOrder="0" shrinkToFit="0" wrapText="0"/>
    </xf>
    <xf borderId="0" fillId="13" fontId="24" numFmtId="168" xfId="0" applyAlignment="1" applyFont="1" applyNumberFormat="1">
      <alignment horizontal="center" shrinkToFit="0" wrapText="0"/>
    </xf>
    <xf borderId="9" fillId="2" fontId="7" numFmtId="9" xfId="0" applyAlignment="1" applyBorder="1" applyFont="1" applyNumberFormat="1">
      <alignment horizontal="center" vertical="center"/>
    </xf>
    <xf borderId="0" fillId="12" fontId="24" numFmtId="3" xfId="0" applyAlignment="1" applyFont="1" applyNumberFormat="1">
      <alignment horizontal="center" readingOrder="0" shrinkToFit="0" wrapText="0"/>
    </xf>
    <xf borderId="0" fillId="12" fontId="24" numFmtId="9" xfId="0" applyAlignment="1" applyFont="1" applyNumberFormat="1">
      <alignment horizontal="center" shrinkToFit="0" wrapText="0"/>
    </xf>
    <xf borderId="0" fillId="0" fontId="19" numFmtId="0" xfId="0" applyAlignment="1" applyFont="1">
      <alignment shrinkToFit="0" vertical="bottom" wrapText="0"/>
    </xf>
    <xf borderId="9" fillId="2" fontId="7" numFmtId="10" xfId="0" applyAlignment="1" applyBorder="1" applyFont="1" applyNumberFormat="1">
      <alignment horizontal="center" vertical="center"/>
    </xf>
    <xf borderId="0" fillId="12" fontId="24" numFmtId="9" xfId="0" applyAlignment="1" applyFont="1" applyNumberFormat="1">
      <alignment horizontal="center" readingOrder="0" shrinkToFit="0" wrapText="0"/>
    </xf>
    <xf borderId="0" fillId="13" fontId="24" numFmtId="9" xfId="0" applyAlignment="1" applyFont="1" applyNumberFormat="1">
      <alignment horizontal="center" shrinkToFit="0" wrapText="0"/>
    </xf>
    <xf borderId="7" fillId="12" fontId="19" numFmtId="9" xfId="0" applyAlignment="1" applyBorder="1" applyFont="1" applyNumberFormat="1">
      <alignment horizontal="center" shrinkToFit="0" vertical="bottom" wrapText="0"/>
    </xf>
    <xf borderId="7" fillId="12" fontId="19" numFmtId="0" xfId="0" applyAlignment="1" applyBorder="1" applyFont="1">
      <alignment readingOrder="0" shrinkToFit="0" vertical="bottom" wrapText="0"/>
    </xf>
    <xf borderId="9" fillId="13" fontId="15" numFmtId="171" xfId="0" applyAlignment="1" applyBorder="1" applyFont="1" applyNumberFormat="1">
      <alignment horizontal="right" vertical="top"/>
    </xf>
    <xf borderId="7" fillId="13" fontId="12" numFmtId="164" xfId="0" applyAlignment="1" applyBorder="1" applyFont="1" applyNumberFormat="1">
      <alignment readingOrder="0" shrinkToFit="0" vertical="bottom" wrapText="0"/>
    </xf>
    <xf borderId="7" fillId="0" fontId="21" numFmtId="164" xfId="0" applyAlignment="1" applyBorder="1" applyFont="1" applyNumberFormat="1">
      <alignment readingOrder="0" shrinkToFit="0" vertical="bottom" wrapText="0"/>
    </xf>
    <xf borderId="0" fillId="13" fontId="24" numFmtId="3" xfId="0" applyAlignment="1" applyFont="1" applyNumberFormat="1">
      <alignment horizontal="center" readingOrder="0" shrinkToFit="0" wrapText="0"/>
    </xf>
    <xf borderId="0" fillId="13" fontId="35" numFmtId="3" xfId="0" applyAlignment="1" applyFont="1" applyNumberFormat="1">
      <alignment horizontal="center" readingOrder="0" shrinkToFit="0" wrapText="0"/>
    </xf>
    <xf borderId="7" fillId="13" fontId="36" numFmtId="0" xfId="0" applyAlignment="1" applyBorder="1" applyFont="1">
      <alignment readingOrder="0" shrinkToFit="0" vertical="bottom" wrapText="0"/>
    </xf>
    <xf borderId="7" fillId="13" fontId="19" numFmtId="0" xfId="0" applyAlignment="1" applyBorder="1" applyFont="1">
      <alignment shrinkToFit="0" vertical="bottom" wrapText="0"/>
    </xf>
    <xf borderId="0" fillId="12" fontId="35" numFmtId="3" xfId="0" applyAlignment="1" applyFont="1" applyNumberFormat="1">
      <alignment horizontal="center" readingOrder="0" shrinkToFit="0" wrapText="0"/>
    </xf>
    <xf borderId="7" fillId="13" fontId="19" numFmtId="10" xfId="0" applyAlignment="1" applyBorder="1" applyFont="1" applyNumberFormat="1">
      <alignment horizontal="right" readingOrder="0" shrinkToFit="0" vertical="bottom" wrapText="0"/>
    </xf>
    <xf borderId="0" fillId="13" fontId="24" numFmtId="168" xfId="0" applyAlignment="1" applyFont="1" applyNumberFormat="1">
      <alignment horizontal="center" readingOrder="0" shrinkToFit="0" wrapText="0"/>
    </xf>
    <xf borderId="0" fillId="13" fontId="35" numFmtId="168" xfId="0" applyAlignment="1" applyFont="1" applyNumberFormat="1">
      <alignment horizontal="center" readingOrder="0" shrinkToFit="0" wrapText="0"/>
    </xf>
    <xf borderId="7" fillId="12" fontId="19" numFmtId="10" xfId="0" applyAlignment="1" applyBorder="1" applyFont="1" applyNumberFormat="1">
      <alignment horizontal="right" readingOrder="0" shrinkToFit="0" vertical="bottom" wrapText="0"/>
    </xf>
    <xf borderId="0" fillId="12" fontId="24" numFmtId="168" xfId="0" applyAlignment="1" applyFont="1" applyNumberFormat="1">
      <alignment horizontal="center" readingOrder="0" shrinkToFit="0" wrapText="0"/>
    </xf>
    <xf borderId="0" fillId="12" fontId="35" numFmtId="168" xfId="0" applyAlignment="1" applyFont="1" applyNumberFormat="1">
      <alignment horizontal="center" readingOrder="0" shrinkToFit="0" wrapText="0"/>
    </xf>
    <xf borderId="0" fillId="12" fontId="34" numFmtId="168" xfId="0" applyAlignment="1" applyFont="1" applyNumberFormat="1">
      <alignment horizontal="center" shrinkToFit="0" vertical="bottom" wrapText="0"/>
    </xf>
    <xf borderId="0" fillId="12" fontId="19" numFmtId="168" xfId="0" applyAlignment="1" applyFont="1" applyNumberFormat="1">
      <alignment shrinkToFit="0" vertical="bottom" wrapText="0"/>
    </xf>
    <xf borderId="7" fillId="13" fontId="19" numFmtId="3" xfId="0" applyAlignment="1" applyBorder="1" applyFont="1" applyNumberFormat="1">
      <alignment readingOrder="0" shrinkToFit="0" vertical="bottom" wrapText="0"/>
    </xf>
    <xf borderId="7" fillId="13" fontId="19" numFmtId="0" xfId="0" applyAlignment="1" applyBorder="1" applyFont="1">
      <alignment readingOrder="0" shrinkToFit="0" vertical="bottom" wrapText="0"/>
    </xf>
    <xf borderId="0" fillId="12" fontId="24" numFmtId="168" xfId="0" applyAlignment="1" applyFont="1" applyNumberFormat="1">
      <alignment horizontal="center" shrinkToFit="0" wrapText="0"/>
    </xf>
    <xf borderId="19" fillId="2" fontId="7" numFmtId="0" xfId="0" applyAlignment="1" applyBorder="1" applyFont="1">
      <alignment shrinkToFit="0" vertical="top" wrapText="1"/>
    </xf>
    <xf borderId="19" fillId="2" fontId="7" numFmtId="0" xfId="0" applyAlignment="1" applyBorder="1" applyFont="1">
      <alignment horizontal="left" shrinkToFit="0" vertical="top" wrapText="1"/>
    </xf>
    <xf borderId="19" fillId="2" fontId="7" numFmtId="164" xfId="0" applyAlignment="1" applyBorder="1" applyFont="1" applyNumberFormat="1">
      <alignment horizontal="left" shrinkToFit="0" vertical="top" wrapText="1"/>
    </xf>
    <xf borderId="19" fillId="2" fontId="9" numFmtId="164" xfId="0" applyAlignment="1" applyBorder="1" applyFont="1" applyNumberFormat="1">
      <alignment horizontal="right" shrinkToFit="1" vertical="top" wrapText="0"/>
    </xf>
    <xf borderId="9" fillId="2" fontId="1" numFmtId="0" xfId="0" applyBorder="1" applyFont="1"/>
    <xf borderId="0" fillId="12" fontId="19" numFmtId="168" xfId="0" applyAlignment="1" applyFont="1" applyNumberFormat="1">
      <alignment horizontal="center" shrinkToFit="0" vertical="bottom" wrapText="0"/>
    </xf>
    <xf borderId="7" fillId="13" fontId="19" numFmtId="164" xfId="0" applyAlignment="1" applyBorder="1" applyFont="1" applyNumberFormat="1">
      <alignment horizontal="right" readingOrder="0" shrinkToFit="0" vertical="bottom" wrapText="0"/>
    </xf>
    <xf borderId="7" fillId="13" fontId="12" numFmtId="164" xfId="0" applyAlignment="1" applyBorder="1" applyFont="1" applyNumberFormat="1">
      <alignment horizontal="right" readingOrder="0" shrinkToFit="0" vertical="bottom" wrapText="0"/>
    </xf>
    <xf borderId="0" fillId="12" fontId="19" numFmtId="0" xfId="0" applyAlignment="1" applyFont="1">
      <alignment readingOrder="0" shrinkToFit="0" vertical="bottom" wrapText="0"/>
    </xf>
    <xf borderId="7" fillId="12" fontId="19" numFmtId="164" xfId="0" applyAlignment="1" applyBorder="1" applyFont="1" applyNumberFormat="1">
      <alignment horizontal="right" readingOrder="0" shrinkToFit="0" vertical="bottom" wrapText="0"/>
    </xf>
    <xf borderId="9" fillId="13" fontId="8" numFmtId="164" xfId="0" applyBorder="1" applyFont="1" applyNumberFormat="1"/>
    <xf borderId="9" fillId="2" fontId="8" numFmtId="4" xfId="0" applyBorder="1" applyFont="1" applyNumberFormat="1"/>
    <xf borderId="9" fillId="2" fontId="8" numFmtId="165" xfId="0" applyBorder="1" applyFont="1" applyNumberFormat="1"/>
    <xf borderId="9" fillId="2" fontId="8" numFmtId="169" xfId="0" applyBorder="1" applyFont="1" applyNumberFormat="1"/>
    <xf borderId="7" fillId="13" fontId="19" numFmtId="0" xfId="0" applyAlignment="1" applyBorder="1" applyFont="1">
      <alignment horizontal="right" readingOrder="0" shrinkToFit="0" vertical="bottom" wrapText="0"/>
    </xf>
    <xf borderId="7" fillId="13" fontId="19" numFmtId="0" xfId="0" applyAlignment="1" applyBorder="1" applyFont="1">
      <alignment shrinkToFit="0" vertical="bottom" wrapText="0"/>
    </xf>
    <xf borderId="9" fillId="2" fontId="8" numFmtId="170" xfId="0" applyBorder="1" applyFont="1" applyNumberFormat="1"/>
    <xf borderId="7" fillId="13" fontId="19" numFmtId="3" xfId="0" applyAlignment="1" applyBorder="1" applyFont="1" applyNumberFormat="1">
      <alignment horizontal="right" readingOrder="0" shrinkToFit="0" vertical="bottom" wrapText="0"/>
    </xf>
    <xf borderId="9" fillId="2" fontId="8" numFmtId="10" xfId="0" applyBorder="1" applyFont="1" applyNumberFormat="1"/>
    <xf borderId="2" fillId="5" fontId="28" numFmtId="0" xfId="0" applyAlignment="1" applyBorder="1" applyFont="1">
      <alignment horizontal="left" vertical="center"/>
    </xf>
    <xf borderId="7" fillId="12" fontId="21" numFmtId="164" xfId="0" applyAlignment="1" applyBorder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left" vertical="top"/>
    </xf>
    <xf borderId="2" fillId="2" fontId="1" numFmtId="9" xfId="0" applyAlignment="1" applyBorder="1" applyFont="1" applyNumberFormat="1">
      <alignment horizontal="center" vertical="center"/>
    </xf>
    <xf borderId="0" fillId="0" fontId="1" numFmtId="168" xfId="0" applyAlignment="1" applyFont="1" applyNumberFormat="1">
      <alignment horizontal="right" vertical="top"/>
    </xf>
    <xf borderId="9" fillId="13" fontId="7" numFmtId="0" xfId="0" applyAlignment="1" applyBorder="1" applyFont="1">
      <alignment horizontal="left" vertical="top"/>
    </xf>
    <xf borderId="9" fillId="13" fontId="7" numFmtId="168" xfId="0" applyAlignment="1" applyBorder="1" applyFont="1" applyNumberFormat="1">
      <alignment horizontal="right" vertical="top"/>
    </xf>
    <xf borderId="9" fillId="2" fontId="1" numFmtId="9" xfId="0" applyAlignment="1" applyBorder="1" applyFont="1" applyNumberFormat="1">
      <alignment horizontal="center" vertical="top"/>
    </xf>
    <xf borderId="0" fillId="0" fontId="7" numFmtId="0" xfId="0" applyAlignment="1" applyFont="1">
      <alignment horizontal="left" vertical="top"/>
    </xf>
    <xf borderId="0" fillId="0" fontId="7" numFmtId="168" xfId="0" applyAlignment="1" applyFont="1" applyNumberFormat="1">
      <alignment horizontal="right" vertical="top"/>
    </xf>
    <xf borderId="9" fillId="2" fontId="7" numFmtId="9" xfId="0" applyAlignment="1" applyBorder="1" applyFont="1" applyNumberFormat="1">
      <alignment horizontal="center" vertical="top"/>
    </xf>
    <xf borderId="0" fillId="0" fontId="8" numFmtId="168" xfId="0" applyFont="1" applyNumberFormat="1"/>
    <xf borderId="0" fillId="0" fontId="37" numFmtId="0" xfId="0" applyFont="1"/>
    <xf borderId="0" fillId="0" fontId="8" numFmtId="0" xfId="0" applyFont="1"/>
    <xf borderId="7" fillId="0" fontId="21" numFmtId="0" xfId="0" applyAlignment="1" applyBorder="1" applyFont="1">
      <alignment shrinkToFit="0" vertical="bottom" wrapText="0"/>
    </xf>
    <xf borderId="25" fillId="5" fontId="18" numFmtId="0" xfId="0" applyAlignment="1" applyBorder="1" applyFont="1">
      <alignment horizontal="center" readingOrder="0"/>
    </xf>
    <xf borderId="25" fillId="5" fontId="18" numFmtId="164" xfId="0" applyAlignment="1" applyBorder="1" applyFont="1" applyNumberFormat="1">
      <alignment horizontal="center" readingOrder="0"/>
    </xf>
    <xf borderId="9" fillId="2" fontId="8" numFmtId="9" xfId="0" applyBorder="1" applyFont="1" applyNumberFormat="1"/>
    <xf borderId="7" fillId="12" fontId="19" numFmtId="3" xfId="0" applyAlignment="1" applyBorder="1" applyFont="1" applyNumberFormat="1">
      <alignment readingOrder="0" shrinkToFit="0" vertical="bottom" wrapText="0"/>
    </xf>
    <xf borderId="26" fillId="13" fontId="21" numFmtId="0" xfId="0" applyAlignment="1" applyBorder="1" applyFont="1">
      <alignment readingOrder="0" shrinkToFit="0" vertical="bottom" wrapText="0"/>
    </xf>
    <xf borderId="26" fillId="13" fontId="19" numFmtId="0" xfId="0" applyAlignment="1" applyBorder="1" applyFont="1">
      <alignment readingOrder="0" shrinkToFit="0" vertical="bottom" wrapText="0"/>
    </xf>
    <xf borderId="9" fillId="2" fontId="15" numFmtId="9" xfId="0" applyAlignment="1" applyBorder="1" applyFont="1" applyNumberFormat="1">
      <alignment horizontal="center" vertical="top"/>
    </xf>
    <xf borderId="27" fillId="12" fontId="19" numFmtId="0" xfId="0" applyAlignment="1" applyBorder="1" applyFont="1">
      <alignment shrinkToFit="0" vertical="bottom" wrapText="0"/>
    </xf>
    <xf borderId="9" fillId="2" fontId="38" numFmtId="0" xfId="0" applyBorder="1" applyFont="1"/>
    <xf borderId="28" fillId="0" fontId="14" numFmtId="0" xfId="0" applyBorder="1" applyFont="1"/>
    <xf borderId="29" fillId="0" fontId="14" numFmtId="0" xfId="0" applyBorder="1" applyFont="1"/>
    <xf borderId="7" fillId="12" fontId="12" numFmtId="0" xfId="0" applyAlignment="1" applyBorder="1" applyFont="1">
      <alignment readingOrder="0" shrinkToFit="0" vertical="bottom" wrapText="0"/>
    </xf>
    <xf borderId="30" fillId="0" fontId="14" numFmtId="0" xfId="0" applyBorder="1" applyFont="1"/>
    <xf borderId="31" fillId="0" fontId="14" numFmtId="0" xfId="0" applyBorder="1" applyFont="1"/>
    <xf borderId="7" fillId="0" fontId="19" numFmtId="0" xfId="0" applyAlignment="1" applyBorder="1" applyFont="1">
      <alignment horizontal="left" shrinkToFit="0" vertical="top" wrapText="0"/>
    </xf>
    <xf borderId="32" fillId="0" fontId="14" numFmtId="0" xfId="0" applyBorder="1" applyFont="1"/>
    <xf borderId="33" fillId="0" fontId="14" numFmtId="0" xfId="0" applyBorder="1" applyFont="1"/>
    <xf borderId="34" fillId="0" fontId="14" numFmtId="0" xfId="0" applyBorder="1" applyFont="1"/>
    <xf borderId="9" fillId="2" fontId="8" numFmtId="168" xfId="0" applyAlignment="1" applyBorder="1" applyFont="1" applyNumberFormat="1">
      <alignment horizontal="center"/>
    </xf>
    <xf borderId="9" fillId="2" fontId="8" numFmtId="168" xfId="0" applyBorder="1" applyFont="1" applyNumberFormat="1"/>
    <xf borderId="0" fillId="2" fontId="8" numFmtId="0" xfId="0" applyFont="1"/>
    <xf borderId="9" fillId="2" fontId="39" numFmtId="0" xfId="0" applyBorder="1" applyFont="1"/>
    <xf borderId="9" fillId="2" fontId="8" numFmtId="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757575"/>
                </a:solidFill>
                <a:latin typeface="+mn-lt"/>
              </a:defRPr>
            </a:pPr>
            <a:r>
              <a:rPr b="0" i="0" sz="1200">
                <a:solidFill>
                  <a:srgbClr val="757575"/>
                </a:solidFill>
                <a:latin typeface="+mn-lt"/>
              </a:rPr>
              <a:t>(+) Receita Bruta Operacional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Receita Bruta Operacional</c:v>
          </c:tx>
          <c:spPr>
            <a:solidFill>
              <a:srgbClr val="1AAD9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'OKRs Consolidados'!$B$7:$M$7</c:f>
            </c:strRef>
          </c:cat>
          <c:val>
            <c:numRef>
              <c:f>'OKRs Consolidados'!$B$17:$M$17</c:f>
              <c:numCache/>
            </c:numRef>
          </c:val>
        </c:ser>
        <c:axId val="1961376198"/>
        <c:axId val="1448416712"/>
      </c:barChart>
      <c:catAx>
        <c:axId val="1961376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448416712"/>
      </c:catAx>
      <c:valAx>
        <c:axId val="1448416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96137619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Ticket Médio por Operadora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Consolidação/Mês</c:v>
          </c:tx>
          <c:spPr>
            <a:solidFill>
              <a:srgbClr val="1AAD9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'OKRs Consolidados'!$A$23:$A$31</c:f>
            </c:strRef>
          </c:cat>
          <c:val>
            <c:numRef>
              <c:f>'OKRs Consolidados'!$N$23:$N$31</c:f>
              <c:numCache/>
            </c:numRef>
          </c:val>
        </c:ser>
        <c:axId val="1835732263"/>
        <c:axId val="1365157840"/>
      </c:barChart>
      <c:catAx>
        <c:axId val="1835732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5157840"/>
      </c:catAx>
      <c:valAx>
        <c:axId val="13651578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573226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1AAD9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'OKRs Consolidados'!$P$7:$Q$7</c:f>
            </c:strRef>
          </c:cat>
          <c:val>
            <c:numRef>
              <c:f>'OKRs Consolidados'!$P$8:$Q$8</c:f>
              <c:numCache/>
            </c:numRef>
          </c:val>
        </c:ser>
        <c:axId val="1874964985"/>
        <c:axId val="354980321"/>
      </c:barChart>
      <c:catAx>
        <c:axId val="1874964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4980321"/>
      </c:catAx>
      <c:valAx>
        <c:axId val="35498032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496498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Receita Bruta Operacional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'ORÇAMENTO 2026 (Organ)'!$B$1:$M$1</c:f>
            </c:strRef>
          </c:cat>
          <c:val>
            <c:numRef>
              <c:f>'ORÇAMENTO 2026 (Organ)'!$B$2:$M$2</c:f>
              <c:numCache/>
            </c:numRef>
          </c:val>
          <c:smooth val="0"/>
        </c:ser>
        <c:axId val="141857425"/>
        <c:axId val="2080552008"/>
      </c:lineChart>
      <c:catAx>
        <c:axId val="141857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0552008"/>
      </c:catAx>
      <c:valAx>
        <c:axId val="2080552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57425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Lucro Bruto</c:v>
          </c:tx>
          <c:spPr>
            <a:solidFill>
              <a:srgbClr val="E46C0A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'ORÇAMENTO 2026 (Organ)'!$O$1:$R$1</c:f>
            </c:strRef>
          </c:cat>
          <c:val>
            <c:numRef>
              <c:f>'ORÇAMENTO 2026 (Organ)'!$O$7:$R$7</c:f>
              <c:numCache/>
            </c:numRef>
          </c:val>
        </c:ser>
        <c:axId val="1087245431"/>
        <c:axId val="54836264"/>
      </c:barChart>
      <c:catAx>
        <c:axId val="1087245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836264"/>
      </c:catAx>
      <c:valAx>
        <c:axId val="54836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245431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111111111111111"/>
          <c:y val="0.0"/>
          <c:w val="0.9388888888888889"/>
          <c:h val="0.8420450568678916"/>
        </c:manualLayout>
      </c:layout>
      <c:barChart>
        <c:barDir val="col"/>
        <c:ser>
          <c:idx val="0"/>
          <c:order val="0"/>
          <c:tx>
            <c:v>EBITDA</c:v>
          </c:tx>
          <c:spPr>
            <a:solidFill>
              <a:srgbClr val="004D4B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'ORÇAMENTO 2026 (Organ)'!$O$13:$R$13</c:f>
            </c:strRef>
          </c:cat>
          <c:val>
            <c:numRef>
              <c:f>'ORÇAMENTO 2026 (Organ)'!$O$15:$R$15</c:f>
              <c:numCache/>
            </c:numRef>
          </c:val>
        </c:ser>
        <c:axId val="552100685"/>
        <c:axId val="1041575978"/>
      </c:barChart>
      <c:catAx>
        <c:axId val="552100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1575978"/>
      </c:catAx>
      <c:valAx>
        <c:axId val="104157597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2100685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Resultado Líquido do Exercicio</c:v>
          </c:tx>
          <c:spPr>
            <a:solidFill>
              <a:srgbClr val="B0CD4E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'ORÇAMENTO 2026 (Organ)'!$O$1:$R$1</c:f>
            </c:strRef>
          </c:cat>
          <c:val>
            <c:numRef>
              <c:f>'ORÇAMENTO 2026 (Organ)'!$O$11:$R$11</c:f>
              <c:numCache/>
            </c:numRef>
          </c:val>
        </c:ser>
        <c:axId val="821256227"/>
        <c:axId val="1471934016"/>
      </c:barChart>
      <c:catAx>
        <c:axId val="8212562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1934016"/>
      </c:catAx>
      <c:valAx>
        <c:axId val="1471934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256227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Receita Bruta Operacional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'ORÇAMENTO 2026'!$B$1:$M$1</c:f>
            </c:strRef>
          </c:cat>
          <c:val>
            <c:numRef>
              <c:f>'ORÇAMENTO 2026'!$B$2:$M$2</c:f>
              <c:numCache/>
            </c:numRef>
          </c:val>
          <c:smooth val="0"/>
        </c:ser>
        <c:axId val="253393668"/>
        <c:axId val="1356236423"/>
      </c:lineChart>
      <c:catAx>
        <c:axId val="253393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6236423"/>
      </c:catAx>
      <c:valAx>
        <c:axId val="13562364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393668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Lucro Bruto</c:v>
          </c:tx>
          <c:spPr>
            <a:solidFill>
              <a:srgbClr val="E46C0A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'ORÇAMENTO 2026'!$O$1:$R$1</c:f>
            </c:strRef>
          </c:cat>
          <c:val>
            <c:numRef>
              <c:f>'ORÇAMENTO 2026'!$O$6:$R$6</c:f>
              <c:numCache/>
            </c:numRef>
          </c:val>
        </c:ser>
        <c:axId val="281087713"/>
        <c:axId val="1879649206"/>
      </c:barChart>
      <c:catAx>
        <c:axId val="281087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9649206"/>
      </c:catAx>
      <c:valAx>
        <c:axId val="187964920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087713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111111111111111"/>
          <c:y val="0.0"/>
          <c:w val="0.9388888888888889"/>
          <c:h val="0.8420450568678916"/>
        </c:manualLayout>
      </c:layout>
      <c:barChart>
        <c:barDir val="col"/>
        <c:ser>
          <c:idx val="0"/>
          <c:order val="0"/>
          <c:tx>
            <c:v>EBITDA</c:v>
          </c:tx>
          <c:spPr>
            <a:solidFill>
              <a:srgbClr val="004D4B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'ORÇAMENTO 2026'!$O$12:$R$12</c:f>
            </c:strRef>
          </c:cat>
          <c:val>
            <c:numRef>
              <c:f>'ORÇAMENTO 2026'!$O$14:$R$14</c:f>
              <c:numCache/>
            </c:numRef>
          </c:val>
        </c:ser>
        <c:axId val="860174621"/>
        <c:axId val="823567069"/>
      </c:barChart>
      <c:catAx>
        <c:axId val="860174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23567069"/>
      </c:catAx>
      <c:valAx>
        <c:axId val="82356706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174621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Resultado Líquido do Exercicio</c:v>
          </c:tx>
          <c:spPr>
            <a:solidFill>
              <a:srgbClr val="B0CD4E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'ORÇAMENTO 2026'!$O$1:$R$1</c:f>
            </c:strRef>
          </c:cat>
          <c:val>
            <c:numRef>
              <c:f>'ORÇAMENTO 2026'!$O$10:$R$10</c:f>
              <c:numCache/>
            </c:numRef>
          </c:val>
        </c:ser>
        <c:axId val="1548892619"/>
        <c:axId val="1540321403"/>
      </c:barChart>
      <c:catAx>
        <c:axId val="1548892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0321403"/>
      </c:catAx>
      <c:valAx>
        <c:axId val="15403214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8892619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'ORÇAMENTO 2026'!$I$20</c:f>
            </c:strRef>
          </c:tx>
          <c:dPt>
            <c:idx val="0"/>
            <c:spPr>
              <a:solidFill>
                <a:srgbClr val="B0CD4E"/>
              </a:solidFill>
            </c:spPr>
          </c:dPt>
          <c:dPt>
            <c:idx val="1"/>
            <c:spPr>
              <a:solidFill>
                <a:srgbClr val="045E5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'ORÇAMENTO 2026'!$H$21:$H$22</c:f>
            </c:strRef>
          </c:cat>
          <c:val>
            <c:numRef>
              <c:f>'ORÇAMENTO 2026'!$I$21:$I$22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76</xdr:row>
      <xdr:rowOff>161925</xdr:rowOff>
    </xdr:from>
    <xdr:ext cx="11477625" cy="19812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28575</xdr:colOff>
      <xdr:row>89</xdr:row>
      <xdr:rowOff>66675</xdr:rowOff>
    </xdr:from>
    <xdr:ext cx="11553825" cy="33147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38100</xdr:colOff>
      <xdr:row>76</xdr:row>
      <xdr:rowOff>161925</xdr:rowOff>
    </xdr:from>
    <xdr:ext cx="5534025" cy="27146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419100</xdr:colOff>
      <xdr:row>21</xdr:row>
      <xdr:rowOff>133350</xdr:rowOff>
    </xdr:from>
    <xdr:ext cx="9734550" cy="26003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447675</xdr:colOff>
      <xdr:row>0</xdr:row>
      <xdr:rowOff>76200</xdr:rowOff>
    </xdr:from>
    <xdr:ext cx="4953000" cy="35147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27</xdr:col>
      <xdr:colOff>247650</xdr:colOff>
      <xdr:row>0</xdr:row>
      <xdr:rowOff>76200</xdr:rowOff>
    </xdr:from>
    <xdr:ext cx="4867275" cy="35147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34</xdr:col>
      <xdr:colOff>600075</xdr:colOff>
      <xdr:row>0</xdr:row>
      <xdr:rowOff>76200</xdr:rowOff>
    </xdr:from>
    <xdr:ext cx="4953000" cy="35147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419100</xdr:colOff>
      <xdr:row>20</xdr:row>
      <xdr:rowOff>133350</xdr:rowOff>
    </xdr:from>
    <xdr:ext cx="9734550" cy="26003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447675</xdr:colOff>
      <xdr:row>0</xdr:row>
      <xdr:rowOff>76200</xdr:rowOff>
    </xdr:from>
    <xdr:ext cx="4953000" cy="333375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27</xdr:col>
      <xdr:colOff>247650</xdr:colOff>
      <xdr:row>0</xdr:row>
      <xdr:rowOff>76200</xdr:rowOff>
    </xdr:from>
    <xdr:ext cx="4867275" cy="333375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34</xdr:col>
      <xdr:colOff>600075</xdr:colOff>
      <xdr:row>0</xdr:row>
      <xdr:rowOff>76200</xdr:rowOff>
    </xdr:from>
    <xdr:ext cx="4953000" cy="333375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57150</xdr:colOff>
      <xdr:row>18</xdr:row>
      <xdr:rowOff>19050</xdr:rowOff>
    </xdr:from>
    <xdr:ext cx="4943475" cy="268605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Row="2"/>
  <cols>
    <col customWidth="1" min="1" max="1" width="25.88"/>
    <col customWidth="1" min="2" max="2" width="27.13"/>
    <col customWidth="1" min="3" max="3" width="10.0"/>
    <col customWidth="1" min="4" max="4" width="11.5"/>
    <col customWidth="1" min="5" max="5" width="9.13"/>
    <col customWidth="1" min="6" max="6" width="12.88"/>
    <col customWidth="1" min="7" max="8" width="11.5"/>
    <col customWidth="1" hidden="1" min="9" max="14" width="8.63"/>
    <col customWidth="1" hidden="1" min="15" max="15" width="10.88"/>
    <col customWidth="1" hidden="1" min="16" max="16" width="10.13"/>
    <col customWidth="1" hidden="1" min="17" max="18" width="8.88"/>
    <col customWidth="1" min="19" max="20" width="10.88"/>
    <col customWidth="1" min="21" max="21" width="11.5"/>
    <col customWidth="1" min="22" max="22" width="15.5"/>
    <col customWidth="1" min="23" max="23" width="11.5"/>
    <col customWidth="1" min="24" max="26" width="8.63"/>
  </cols>
  <sheetData>
    <row r="1" ht="14.25" customHeight="1">
      <c r="A1" s="1" t="s">
        <v>0</v>
      </c>
      <c r="B1" s="1" t="s">
        <v>2</v>
      </c>
      <c r="C1" s="3" t="s">
        <v>4</v>
      </c>
      <c r="D1" s="3" t="s">
        <v>6</v>
      </c>
      <c r="E1" s="3" t="s">
        <v>7</v>
      </c>
      <c r="F1" s="3" t="s">
        <v>9</v>
      </c>
      <c r="G1" s="3" t="s">
        <v>10</v>
      </c>
      <c r="H1" s="3" t="s">
        <v>12</v>
      </c>
      <c r="I1" s="3" t="s">
        <v>14</v>
      </c>
      <c r="J1" s="3" t="s">
        <v>16</v>
      </c>
      <c r="K1" s="3" t="s">
        <v>18</v>
      </c>
      <c r="L1" s="3" t="s">
        <v>19</v>
      </c>
      <c r="M1" s="3" t="s">
        <v>20</v>
      </c>
      <c r="N1" s="3" t="s">
        <v>21</v>
      </c>
      <c r="O1" s="11" t="s">
        <v>22</v>
      </c>
      <c r="P1" s="11" t="s">
        <v>24</v>
      </c>
      <c r="Q1" s="11" t="s">
        <v>26</v>
      </c>
      <c r="R1" s="11" t="s">
        <v>28</v>
      </c>
      <c r="S1" s="11" t="s">
        <v>30</v>
      </c>
      <c r="T1" s="11" t="s">
        <v>32</v>
      </c>
      <c r="U1" s="11" t="s">
        <v>34</v>
      </c>
      <c r="V1" s="11" t="s">
        <v>37</v>
      </c>
      <c r="W1" s="11" t="s">
        <v>34</v>
      </c>
    </row>
    <row r="2" ht="14.25" customHeight="1">
      <c r="A2" s="15" t="s">
        <v>40</v>
      </c>
      <c r="B2" s="15" t="s">
        <v>41</v>
      </c>
      <c r="C2" s="18">
        <v>1477175.91</v>
      </c>
      <c r="D2" s="19">
        <v>1588602.79</v>
      </c>
      <c r="E2" s="19">
        <v>1365786.21</v>
      </c>
      <c r="F2" s="21">
        <v>1787262.12</v>
      </c>
      <c r="G2" s="21">
        <v>1640961.84</v>
      </c>
      <c r="H2" s="21">
        <v>1787215.62</v>
      </c>
      <c r="O2" s="26">
        <f t="shared" ref="O2:O86" si="1">SUM(C2:E2)</f>
        <v>4431564.91</v>
      </c>
      <c r="P2" s="30">
        <f t="shared" ref="P2:P86" si="2">SUM(F2:H2)</f>
        <v>5215439.58</v>
      </c>
      <c r="Q2" s="30">
        <f t="shared" ref="Q2:Q86" si="3">SUM(I2:K2)</f>
        <v>0</v>
      </c>
      <c r="R2" s="30">
        <f t="shared" ref="R2:R86" si="4">SUM(L2:N2)</f>
        <v>0</v>
      </c>
      <c r="S2" s="30">
        <f t="shared" ref="S2:S86" si="5">SUM(C2:N2)</f>
        <v>9647004.49</v>
      </c>
      <c r="T2" s="30">
        <v>1.0054758E7</v>
      </c>
      <c r="U2" s="30">
        <f>S2-T2</f>
        <v>-407753.51</v>
      </c>
      <c r="V2" s="30">
        <v>8682000.0</v>
      </c>
      <c r="W2" s="30">
        <f>S2-V2</f>
        <v>965004.49</v>
      </c>
    </row>
    <row r="3" ht="14.25" customHeight="1">
      <c r="A3" s="39" t="s">
        <v>56</v>
      </c>
      <c r="B3" s="39" t="s">
        <v>58</v>
      </c>
      <c r="C3" s="41">
        <v>1477175.91</v>
      </c>
      <c r="D3" s="21">
        <v>1588602.79</v>
      </c>
      <c r="E3" s="21">
        <v>1365786.21</v>
      </c>
      <c r="F3" s="21">
        <v>1787262.12</v>
      </c>
      <c r="G3" s="21">
        <v>1640961.84</v>
      </c>
      <c r="H3" s="21">
        <v>1787215.62</v>
      </c>
      <c r="O3" s="26">
        <f t="shared" si="1"/>
        <v>4431564.91</v>
      </c>
      <c r="P3" s="30">
        <f t="shared" si="2"/>
        <v>5215439.58</v>
      </c>
      <c r="Q3" s="30">
        <f t="shared" si="3"/>
        <v>0</v>
      </c>
      <c r="R3" s="30">
        <f t="shared" si="4"/>
        <v>0</v>
      </c>
      <c r="S3" s="30">
        <f t="shared" si="5"/>
        <v>9647004.49</v>
      </c>
      <c r="T3" s="30"/>
      <c r="U3" s="30"/>
      <c r="V3" s="30"/>
      <c r="W3" s="30"/>
    </row>
    <row r="4" ht="14.25" customHeight="1">
      <c r="A4" s="39" t="s">
        <v>64</v>
      </c>
      <c r="B4" s="39" t="s">
        <v>65</v>
      </c>
      <c r="C4" s="41">
        <v>1471175.91</v>
      </c>
      <c r="D4" s="21">
        <v>1585602.79</v>
      </c>
      <c r="E4" s="21">
        <v>1362786.21</v>
      </c>
      <c r="F4" s="21">
        <v>1787262.12</v>
      </c>
      <c r="G4" s="21">
        <v>1640961.84</v>
      </c>
      <c r="H4" s="21">
        <v>1787215.62</v>
      </c>
      <c r="O4" s="26">
        <f t="shared" si="1"/>
        <v>4419564.91</v>
      </c>
      <c r="P4" s="30">
        <f t="shared" si="2"/>
        <v>5215439.58</v>
      </c>
      <c r="Q4" s="30">
        <f t="shared" si="3"/>
        <v>0</v>
      </c>
      <c r="R4" s="30">
        <f t="shared" si="4"/>
        <v>0</v>
      </c>
      <c r="S4" s="30">
        <f t="shared" si="5"/>
        <v>9635004.49</v>
      </c>
      <c r="T4" s="30"/>
      <c r="U4" s="30"/>
      <c r="V4" s="30"/>
      <c r="W4" s="30"/>
    </row>
    <row r="5" ht="14.25" customHeight="1">
      <c r="A5" s="44" t="s">
        <v>67</v>
      </c>
      <c r="B5" s="39" t="s">
        <v>68</v>
      </c>
      <c r="C5" s="41">
        <v>1471175.91</v>
      </c>
      <c r="D5" s="21">
        <v>1585602.79</v>
      </c>
      <c r="E5" s="21">
        <v>1362786.21</v>
      </c>
      <c r="F5" s="21">
        <v>1787262.12</v>
      </c>
      <c r="G5" s="21">
        <v>1640961.84</v>
      </c>
      <c r="H5" s="21">
        <v>1787215.62</v>
      </c>
      <c r="O5" s="26">
        <f t="shared" si="1"/>
        <v>4419564.91</v>
      </c>
      <c r="P5" s="30">
        <f t="shared" si="2"/>
        <v>5215439.58</v>
      </c>
      <c r="Q5" s="30">
        <f t="shared" si="3"/>
        <v>0</v>
      </c>
      <c r="R5" s="30">
        <f t="shared" si="4"/>
        <v>0</v>
      </c>
      <c r="S5" s="30">
        <f t="shared" si="5"/>
        <v>9635004.49</v>
      </c>
      <c r="T5" s="30"/>
      <c r="U5" s="30"/>
      <c r="V5" s="30"/>
      <c r="W5" s="30"/>
    </row>
    <row r="6" ht="14.25" customHeight="1">
      <c r="A6" s="39" t="s">
        <v>75</v>
      </c>
      <c r="B6" s="39" t="s">
        <v>76</v>
      </c>
      <c r="C6" s="41">
        <v>6000.0</v>
      </c>
      <c r="D6" s="21">
        <v>3000.0</v>
      </c>
      <c r="E6" s="21">
        <v>3000.0</v>
      </c>
      <c r="H6" s="21"/>
      <c r="O6" s="26">
        <f t="shared" si="1"/>
        <v>12000</v>
      </c>
      <c r="P6" s="30">
        <f t="shared" si="2"/>
        <v>0</v>
      </c>
      <c r="Q6" s="30">
        <f t="shared" si="3"/>
        <v>0</v>
      </c>
      <c r="R6" s="30">
        <f t="shared" si="4"/>
        <v>0</v>
      </c>
      <c r="S6" s="30">
        <f t="shared" si="5"/>
        <v>12000</v>
      </c>
      <c r="T6" s="30"/>
      <c r="U6" s="30"/>
      <c r="V6" s="30"/>
      <c r="W6" s="30"/>
    </row>
    <row r="7" ht="14.25" customHeight="1">
      <c r="A7" s="44" t="s">
        <v>79</v>
      </c>
      <c r="B7" s="39" t="s">
        <v>80</v>
      </c>
      <c r="C7" s="41">
        <v>6000.0</v>
      </c>
      <c r="D7" s="21">
        <v>3000.0</v>
      </c>
      <c r="E7" s="21">
        <v>3000.0</v>
      </c>
      <c r="H7" s="21"/>
      <c r="O7" s="26">
        <f t="shared" si="1"/>
        <v>12000</v>
      </c>
      <c r="P7" s="30">
        <f t="shared" si="2"/>
        <v>0</v>
      </c>
      <c r="Q7" s="30">
        <f t="shared" si="3"/>
        <v>0</v>
      </c>
      <c r="R7" s="30">
        <f t="shared" si="4"/>
        <v>0</v>
      </c>
      <c r="S7" s="30">
        <f t="shared" si="5"/>
        <v>12000</v>
      </c>
      <c r="T7" s="30"/>
      <c r="U7" s="30"/>
      <c r="V7" s="30"/>
      <c r="W7" s="30"/>
    </row>
    <row r="8" ht="14.25" customHeight="1">
      <c r="A8" s="39" t="s">
        <v>85</v>
      </c>
      <c r="B8" s="39" t="s">
        <v>87</v>
      </c>
      <c r="C8" s="41">
        <v>97833.22</v>
      </c>
      <c r="D8" s="21">
        <v>105442.54</v>
      </c>
      <c r="E8" s="21">
        <v>90625.19</v>
      </c>
      <c r="F8" s="21">
        <v>118835.87</v>
      </c>
      <c r="G8" s="21">
        <v>109123.99</v>
      </c>
      <c r="H8" s="21">
        <v>118849.76</v>
      </c>
      <c r="O8" s="26">
        <f t="shared" si="1"/>
        <v>293900.95</v>
      </c>
      <c r="P8" s="30">
        <f t="shared" si="2"/>
        <v>346809.62</v>
      </c>
      <c r="Q8" s="30">
        <f t="shared" si="3"/>
        <v>0</v>
      </c>
      <c r="R8" s="30">
        <f t="shared" si="4"/>
        <v>0</v>
      </c>
      <c r="S8" s="30">
        <f t="shared" si="5"/>
        <v>640710.57</v>
      </c>
      <c r="T8" s="30"/>
      <c r="U8" s="30"/>
      <c r="V8" s="30"/>
      <c r="W8" s="30"/>
    </row>
    <row r="9" ht="14.25" customHeight="1">
      <c r="A9" s="39" t="s">
        <v>93</v>
      </c>
      <c r="B9" s="39" t="s">
        <v>95</v>
      </c>
      <c r="C9" s="41">
        <v>97833.22</v>
      </c>
      <c r="D9" s="21">
        <v>105442.54</v>
      </c>
      <c r="E9" s="21">
        <v>90625.19</v>
      </c>
      <c r="H9" s="21"/>
      <c r="O9" s="26">
        <f t="shared" si="1"/>
        <v>293900.95</v>
      </c>
      <c r="P9" s="30">
        <f t="shared" si="2"/>
        <v>0</v>
      </c>
      <c r="Q9" s="30">
        <f t="shared" si="3"/>
        <v>0</v>
      </c>
      <c r="R9" s="30">
        <f t="shared" si="4"/>
        <v>0</v>
      </c>
      <c r="S9" s="30">
        <f t="shared" si="5"/>
        <v>293900.95</v>
      </c>
      <c r="T9" s="30"/>
      <c r="U9" s="30"/>
      <c r="V9" s="30"/>
      <c r="W9" s="30"/>
    </row>
    <row r="10" ht="14.25" customHeight="1">
      <c r="A10" s="39" t="s">
        <v>97</v>
      </c>
      <c r="B10" s="39" t="s">
        <v>98</v>
      </c>
      <c r="C10" s="41">
        <v>44135.3</v>
      </c>
      <c r="D10" s="21">
        <v>47568.04</v>
      </c>
      <c r="E10" s="21">
        <v>40883.49</v>
      </c>
      <c r="F10" s="21">
        <v>53610.16</v>
      </c>
      <c r="G10" s="21">
        <v>49228.88</v>
      </c>
      <c r="H10" s="21">
        <v>53616.39</v>
      </c>
      <c r="O10" s="26">
        <f t="shared" si="1"/>
        <v>132586.83</v>
      </c>
      <c r="P10" s="30">
        <f t="shared" si="2"/>
        <v>156455.43</v>
      </c>
      <c r="Q10" s="30">
        <f t="shared" si="3"/>
        <v>0</v>
      </c>
      <c r="R10" s="30">
        <f t="shared" si="4"/>
        <v>0</v>
      </c>
      <c r="S10" s="30">
        <f t="shared" si="5"/>
        <v>289042.26</v>
      </c>
      <c r="T10" s="30"/>
      <c r="U10" s="30"/>
      <c r="V10" s="30"/>
      <c r="W10" s="30"/>
    </row>
    <row r="11" ht="14.25" customHeight="1">
      <c r="A11" s="44" t="s">
        <v>106</v>
      </c>
      <c r="B11" s="39" t="s">
        <v>107</v>
      </c>
      <c r="C11" s="41">
        <v>44135.3</v>
      </c>
      <c r="D11" s="21">
        <v>47568.04</v>
      </c>
      <c r="E11" s="21">
        <v>40883.49</v>
      </c>
      <c r="F11" s="21"/>
      <c r="G11" s="21"/>
      <c r="H11" s="21"/>
      <c r="O11" s="26">
        <f t="shared" si="1"/>
        <v>132586.83</v>
      </c>
      <c r="P11" s="30">
        <f t="shared" si="2"/>
        <v>0</v>
      </c>
      <c r="Q11" s="30">
        <f t="shared" si="3"/>
        <v>0</v>
      </c>
      <c r="R11" s="30">
        <f t="shared" si="4"/>
        <v>0</v>
      </c>
      <c r="S11" s="30">
        <f t="shared" si="5"/>
        <v>132586.83</v>
      </c>
      <c r="T11" s="30"/>
      <c r="U11" s="30"/>
      <c r="V11" s="30"/>
      <c r="W11" s="30"/>
    </row>
    <row r="12" ht="14.25" customHeight="1">
      <c r="A12" s="39" t="s">
        <v>110</v>
      </c>
      <c r="B12" s="39" t="s">
        <v>112</v>
      </c>
      <c r="C12" s="41">
        <v>44135.28</v>
      </c>
      <c r="D12" s="21">
        <v>47568.08</v>
      </c>
      <c r="E12" s="21">
        <v>40883.59</v>
      </c>
      <c r="F12" s="21">
        <v>53610.17</v>
      </c>
      <c r="G12" s="21">
        <v>49228.86</v>
      </c>
      <c r="H12" s="21">
        <v>53616.47</v>
      </c>
      <c r="O12" s="26">
        <f t="shared" si="1"/>
        <v>132586.95</v>
      </c>
      <c r="P12" s="30">
        <f t="shared" si="2"/>
        <v>156455.5</v>
      </c>
      <c r="Q12" s="30">
        <f t="shared" si="3"/>
        <v>0</v>
      </c>
      <c r="R12" s="30">
        <f t="shared" si="4"/>
        <v>0</v>
      </c>
      <c r="S12" s="30">
        <f t="shared" si="5"/>
        <v>289042.45</v>
      </c>
      <c r="T12" s="30"/>
      <c r="U12" s="30"/>
      <c r="V12" s="30"/>
      <c r="W12" s="30"/>
    </row>
    <row r="13" ht="14.25" customHeight="1">
      <c r="A13" s="44" t="s">
        <v>120</v>
      </c>
      <c r="B13" s="39" t="s">
        <v>121</v>
      </c>
      <c r="C13" s="41">
        <v>44135.28</v>
      </c>
      <c r="D13" s="21">
        <v>47568.08</v>
      </c>
      <c r="E13" s="21">
        <v>40883.59</v>
      </c>
      <c r="F13" s="21"/>
      <c r="G13" s="21"/>
      <c r="H13" s="21"/>
      <c r="O13" s="26">
        <f t="shared" si="1"/>
        <v>132586.95</v>
      </c>
      <c r="P13" s="30">
        <f t="shared" si="2"/>
        <v>0</v>
      </c>
      <c r="Q13" s="30">
        <f t="shared" si="3"/>
        <v>0</v>
      </c>
      <c r="R13" s="30">
        <f t="shared" si="4"/>
        <v>0</v>
      </c>
      <c r="S13" s="30">
        <f t="shared" si="5"/>
        <v>132586.95</v>
      </c>
      <c r="T13" s="30"/>
      <c r="U13" s="30"/>
      <c r="V13" s="30"/>
      <c r="W13" s="30"/>
    </row>
    <row r="14" ht="14.25" customHeight="1">
      <c r="A14" s="39" t="s">
        <v>124</v>
      </c>
      <c r="B14" s="39" t="s">
        <v>125</v>
      </c>
      <c r="C14" s="41">
        <v>9562.64</v>
      </c>
      <c r="D14" s="21">
        <v>10306.42</v>
      </c>
      <c r="E14" s="21">
        <v>8858.11</v>
      </c>
      <c r="F14" s="21">
        <v>11615.54</v>
      </c>
      <c r="G14" s="21">
        <v>10666.25</v>
      </c>
      <c r="H14" s="21">
        <v>11616.9</v>
      </c>
      <c r="O14" s="26">
        <f t="shared" si="1"/>
        <v>28727.17</v>
      </c>
      <c r="P14" s="30">
        <f t="shared" si="2"/>
        <v>33898.69</v>
      </c>
      <c r="Q14" s="30">
        <f t="shared" si="3"/>
        <v>0</v>
      </c>
      <c r="R14" s="30">
        <f t="shared" si="4"/>
        <v>0</v>
      </c>
      <c r="S14" s="30">
        <f t="shared" si="5"/>
        <v>62625.86</v>
      </c>
      <c r="T14" s="30"/>
      <c r="U14" s="30"/>
      <c r="V14" s="30"/>
      <c r="W14" s="30"/>
    </row>
    <row r="15" ht="14.25" customHeight="1">
      <c r="A15" s="44" t="s">
        <v>129</v>
      </c>
      <c r="B15" s="39" t="s">
        <v>130</v>
      </c>
      <c r="C15" s="41">
        <v>9562.64</v>
      </c>
      <c r="D15" s="21">
        <v>10306.42</v>
      </c>
      <c r="E15" s="21">
        <v>8858.11</v>
      </c>
      <c r="F15" s="21"/>
      <c r="G15" s="21"/>
      <c r="H15" s="21"/>
      <c r="O15" s="26">
        <f t="shared" si="1"/>
        <v>28727.17</v>
      </c>
      <c r="P15" s="30">
        <f t="shared" si="2"/>
        <v>0</v>
      </c>
      <c r="Q15" s="30">
        <f t="shared" si="3"/>
        <v>0</v>
      </c>
      <c r="R15" s="30">
        <f t="shared" si="4"/>
        <v>0</v>
      </c>
      <c r="S15" s="30">
        <f t="shared" si="5"/>
        <v>28727.17</v>
      </c>
      <c r="T15" s="30"/>
      <c r="U15" s="30"/>
      <c r="V15" s="30"/>
      <c r="W15" s="30"/>
    </row>
    <row r="16" ht="14.25" customHeight="1">
      <c r="A16" s="63" t="s">
        <v>136</v>
      </c>
      <c r="B16" s="63" t="s">
        <v>137</v>
      </c>
      <c r="C16" s="65">
        <v>1379342.69</v>
      </c>
      <c r="D16" s="67">
        <v>1483160.25</v>
      </c>
      <c r="E16" s="67">
        <v>1275161.02</v>
      </c>
      <c r="F16" s="21">
        <v>1668426.25</v>
      </c>
      <c r="G16" s="21">
        <v>1531837.85</v>
      </c>
      <c r="H16" s="21">
        <v>1668365.86</v>
      </c>
      <c r="O16" s="26">
        <f t="shared" si="1"/>
        <v>4137663.96</v>
      </c>
      <c r="P16" s="30">
        <f t="shared" si="2"/>
        <v>4868629.96</v>
      </c>
      <c r="Q16" s="30">
        <f t="shared" si="3"/>
        <v>0</v>
      </c>
      <c r="R16" s="30">
        <f t="shared" si="4"/>
        <v>0</v>
      </c>
      <c r="S16" s="30">
        <f t="shared" si="5"/>
        <v>9006293.92</v>
      </c>
      <c r="T16" s="30"/>
      <c r="U16" s="30"/>
      <c r="V16" s="30"/>
      <c r="W16" s="30"/>
    </row>
    <row r="17" ht="14.25" customHeight="1">
      <c r="A17" s="68" t="s">
        <v>145</v>
      </c>
      <c r="B17" s="68" t="s">
        <v>146</v>
      </c>
      <c r="C17" s="70">
        <v>670896.37</v>
      </c>
      <c r="D17" s="71">
        <v>550631.43</v>
      </c>
      <c r="E17" s="71">
        <v>659749.75</v>
      </c>
      <c r="F17" s="21">
        <v>662933.9</v>
      </c>
      <c r="G17" s="21">
        <v>572212.66</v>
      </c>
      <c r="H17" s="21">
        <v>608013.49</v>
      </c>
      <c r="O17" s="26">
        <f t="shared" si="1"/>
        <v>1881277.55</v>
      </c>
      <c r="P17" s="30">
        <f t="shared" si="2"/>
        <v>1843160.05</v>
      </c>
      <c r="Q17" s="30">
        <f t="shared" si="3"/>
        <v>0</v>
      </c>
      <c r="R17" s="30">
        <f t="shared" si="4"/>
        <v>0</v>
      </c>
      <c r="S17" s="30">
        <f t="shared" si="5"/>
        <v>3724437.6</v>
      </c>
      <c r="T17" s="73">
        <f>S17/S16</f>
        <v>0.4135372033</v>
      </c>
      <c r="U17" s="30"/>
      <c r="V17" s="30"/>
      <c r="W17" s="30"/>
    </row>
    <row r="18" ht="14.25" customHeight="1">
      <c r="A18" s="68" t="s">
        <v>155</v>
      </c>
      <c r="B18" s="68" t="s">
        <v>158</v>
      </c>
      <c r="C18" s="70">
        <v>670896.37</v>
      </c>
      <c r="D18" s="71">
        <v>550631.43</v>
      </c>
      <c r="E18" s="71">
        <v>659749.75</v>
      </c>
      <c r="H18" s="21"/>
      <c r="O18" s="26">
        <f t="shared" si="1"/>
        <v>1881277.55</v>
      </c>
      <c r="P18" s="30">
        <f t="shared" si="2"/>
        <v>0</v>
      </c>
      <c r="Q18" s="30">
        <f t="shared" si="3"/>
        <v>0</v>
      </c>
      <c r="R18" s="30">
        <f t="shared" si="4"/>
        <v>0</v>
      </c>
      <c r="S18" s="30">
        <f t="shared" si="5"/>
        <v>1881277.55</v>
      </c>
      <c r="T18" s="30"/>
      <c r="U18" s="30"/>
      <c r="V18" s="30"/>
      <c r="W18" s="30"/>
    </row>
    <row r="19" ht="14.25" customHeight="1">
      <c r="A19" s="39" t="s">
        <v>163</v>
      </c>
      <c r="B19" s="39" t="s">
        <v>164</v>
      </c>
      <c r="C19" s="41">
        <v>670896.37</v>
      </c>
      <c r="D19" s="21">
        <v>550631.43</v>
      </c>
      <c r="E19" s="21">
        <v>659749.75</v>
      </c>
      <c r="H19" s="21"/>
      <c r="O19" s="26">
        <f t="shared" si="1"/>
        <v>1881277.55</v>
      </c>
      <c r="P19" s="30">
        <f t="shared" si="2"/>
        <v>0</v>
      </c>
      <c r="Q19" s="30">
        <f t="shared" si="3"/>
        <v>0</v>
      </c>
      <c r="R19" s="30">
        <f t="shared" si="4"/>
        <v>0</v>
      </c>
      <c r="S19" s="30">
        <f t="shared" si="5"/>
        <v>1881277.55</v>
      </c>
      <c r="T19" s="30"/>
      <c r="U19" s="30"/>
      <c r="V19" s="30"/>
      <c r="W19" s="30"/>
    </row>
    <row r="20" ht="14.25" customHeight="1">
      <c r="A20" s="44" t="s">
        <v>167</v>
      </c>
      <c r="B20" s="39" t="s">
        <v>168</v>
      </c>
      <c r="C20" s="41">
        <v>297917.8</v>
      </c>
      <c r="D20" s="21">
        <v>252772.9</v>
      </c>
      <c r="E20" s="21">
        <v>263222.53</v>
      </c>
      <c r="H20" s="21"/>
      <c r="O20" s="26">
        <f t="shared" si="1"/>
        <v>813913.23</v>
      </c>
      <c r="P20" s="30">
        <f t="shared" si="2"/>
        <v>0</v>
      </c>
      <c r="Q20" s="30">
        <f t="shared" si="3"/>
        <v>0</v>
      </c>
      <c r="R20" s="30">
        <f t="shared" si="4"/>
        <v>0</v>
      </c>
      <c r="S20" s="30">
        <f t="shared" si="5"/>
        <v>813913.23</v>
      </c>
      <c r="T20" s="30"/>
      <c r="U20" s="30"/>
      <c r="V20" s="30"/>
      <c r="W20" s="30"/>
    </row>
    <row r="21" ht="14.25" customHeight="1">
      <c r="A21" s="44" t="s">
        <v>173</v>
      </c>
      <c r="B21" s="39" t="s">
        <v>174</v>
      </c>
      <c r="C21" s="70">
        <v>88026.4</v>
      </c>
      <c r="D21" s="21">
        <v>65873.66</v>
      </c>
      <c r="E21" s="21">
        <v>63210.84</v>
      </c>
      <c r="H21" s="21"/>
      <c r="O21" s="26">
        <f t="shared" si="1"/>
        <v>217110.9</v>
      </c>
      <c r="P21" s="30">
        <f t="shared" si="2"/>
        <v>0</v>
      </c>
      <c r="Q21" s="30">
        <f t="shared" si="3"/>
        <v>0</v>
      </c>
      <c r="R21" s="30">
        <f t="shared" si="4"/>
        <v>0</v>
      </c>
      <c r="S21" s="30">
        <f t="shared" si="5"/>
        <v>217110.9</v>
      </c>
      <c r="T21" s="30"/>
      <c r="U21" s="30"/>
      <c r="V21" s="30"/>
      <c r="W21" s="30"/>
    </row>
    <row r="22" ht="14.25" customHeight="1">
      <c r="A22" s="44" t="s">
        <v>177</v>
      </c>
      <c r="B22" s="39" t="s">
        <v>178</v>
      </c>
      <c r="C22" s="41">
        <v>22923.83</v>
      </c>
      <c r="D22" s="21">
        <v>27467.39</v>
      </c>
      <c r="E22" s="21">
        <v>19568.04</v>
      </c>
      <c r="H22" s="21"/>
      <c r="O22" s="26">
        <f t="shared" si="1"/>
        <v>69959.26</v>
      </c>
      <c r="P22" s="30">
        <f t="shared" si="2"/>
        <v>0</v>
      </c>
      <c r="Q22" s="30">
        <f t="shared" si="3"/>
        <v>0</v>
      </c>
      <c r="R22" s="30">
        <f t="shared" si="4"/>
        <v>0</v>
      </c>
      <c r="S22" s="30">
        <f t="shared" si="5"/>
        <v>69959.26</v>
      </c>
      <c r="T22" s="30"/>
      <c r="U22" s="30"/>
      <c r="V22" s="30"/>
      <c r="W22" s="30"/>
    </row>
    <row r="23" ht="14.25" customHeight="1">
      <c r="A23" s="44" t="s">
        <v>180</v>
      </c>
      <c r="B23" s="39" t="s">
        <v>181</v>
      </c>
      <c r="C23" s="41">
        <v>13750.0</v>
      </c>
      <c r="D23" s="21">
        <v>13482.0</v>
      </c>
      <c r="E23" s="71">
        <v>65259.45</v>
      </c>
      <c r="H23" s="21"/>
      <c r="O23" s="26">
        <f t="shared" si="1"/>
        <v>92491.45</v>
      </c>
      <c r="P23" s="30">
        <f t="shared" si="2"/>
        <v>0</v>
      </c>
      <c r="Q23" s="30">
        <f t="shared" si="3"/>
        <v>0</v>
      </c>
      <c r="R23" s="30">
        <f t="shared" si="4"/>
        <v>0</v>
      </c>
      <c r="S23" s="30">
        <f t="shared" si="5"/>
        <v>92491.45</v>
      </c>
      <c r="T23" s="30"/>
      <c r="U23" s="30"/>
      <c r="V23" s="30"/>
      <c r="W23" s="30"/>
    </row>
    <row r="24" ht="14.25" customHeight="1">
      <c r="A24" s="44" t="s">
        <v>187</v>
      </c>
      <c r="B24" s="39" t="s">
        <v>188</v>
      </c>
      <c r="C24" s="41">
        <v>164865.21</v>
      </c>
      <c r="D24" s="21">
        <v>127902.66</v>
      </c>
      <c r="E24" s="21">
        <v>172050.49</v>
      </c>
      <c r="H24" s="21"/>
      <c r="O24" s="26">
        <f t="shared" si="1"/>
        <v>464818.36</v>
      </c>
      <c r="P24" s="30">
        <f t="shared" si="2"/>
        <v>0</v>
      </c>
      <c r="Q24" s="30">
        <f t="shared" si="3"/>
        <v>0</v>
      </c>
      <c r="R24" s="30">
        <f t="shared" si="4"/>
        <v>0</v>
      </c>
      <c r="S24" s="30">
        <f t="shared" si="5"/>
        <v>464818.36</v>
      </c>
      <c r="T24" s="30"/>
      <c r="U24" s="30"/>
      <c r="V24" s="30"/>
      <c r="W24" s="30"/>
    </row>
    <row r="25" ht="14.25" customHeight="1">
      <c r="A25" s="44" t="s">
        <v>193</v>
      </c>
      <c r="B25" s="39" t="s">
        <v>194</v>
      </c>
      <c r="C25" s="41">
        <v>0.0</v>
      </c>
      <c r="D25" s="21">
        <v>0.0</v>
      </c>
      <c r="E25" s="21">
        <v>29157.27</v>
      </c>
      <c r="H25" s="21"/>
      <c r="O25" s="26">
        <f t="shared" si="1"/>
        <v>29157.27</v>
      </c>
      <c r="P25" s="30">
        <f t="shared" si="2"/>
        <v>0</v>
      </c>
      <c r="Q25" s="30">
        <f t="shared" si="3"/>
        <v>0</v>
      </c>
      <c r="R25" s="30">
        <f t="shared" si="4"/>
        <v>0</v>
      </c>
      <c r="S25" s="30">
        <f t="shared" si="5"/>
        <v>29157.27</v>
      </c>
      <c r="T25" s="30"/>
      <c r="U25" s="30"/>
      <c r="V25" s="30"/>
      <c r="W25" s="30"/>
    </row>
    <row r="26" ht="14.25" customHeight="1">
      <c r="A26" s="44" t="s">
        <v>201</v>
      </c>
      <c r="B26" s="39" t="s">
        <v>202</v>
      </c>
      <c r="C26" s="41">
        <v>0.0</v>
      </c>
      <c r="D26" s="21">
        <v>0.0</v>
      </c>
      <c r="E26" s="71">
        <v>19601.83</v>
      </c>
      <c r="H26" s="21"/>
      <c r="O26" s="26">
        <f t="shared" si="1"/>
        <v>19601.83</v>
      </c>
      <c r="P26" s="30">
        <f t="shared" si="2"/>
        <v>0</v>
      </c>
      <c r="Q26" s="30">
        <f t="shared" si="3"/>
        <v>0</v>
      </c>
      <c r="R26" s="30">
        <f t="shared" si="4"/>
        <v>0</v>
      </c>
      <c r="S26" s="30">
        <f t="shared" si="5"/>
        <v>19601.83</v>
      </c>
      <c r="T26" s="30"/>
      <c r="U26" s="30"/>
      <c r="V26" s="30"/>
      <c r="W26" s="30"/>
    </row>
    <row r="27" ht="14.25" customHeight="1">
      <c r="A27" s="44" t="s">
        <v>206</v>
      </c>
      <c r="B27" s="39" t="s">
        <v>207</v>
      </c>
      <c r="C27" s="70">
        <v>53281.25</v>
      </c>
      <c r="D27" s="71">
        <v>26995.44</v>
      </c>
      <c r="E27" s="21">
        <v>9267.0</v>
      </c>
      <c r="H27" s="21"/>
      <c r="O27" s="26">
        <f t="shared" si="1"/>
        <v>89543.69</v>
      </c>
      <c r="P27" s="30">
        <f t="shared" si="2"/>
        <v>0</v>
      </c>
      <c r="Q27" s="30">
        <f t="shared" si="3"/>
        <v>0</v>
      </c>
      <c r="R27" s="30">
        <f t="shared" si="4"/>
        <v>0</v>
      </c>
      <c r="S27" s="30">
        <f t="shared" si="5"/>
        <v>89543.69</v>
      </c>
      <c r="T27" s="30"/>
      <c r="U27" s="30"/>
      <c r="V27" s="30"/>
      <c r="W27" s="30"/>
    </row>
    <row r="28" ht="14.25" customHeight="1">
      <c r="A28" s="44" t="s">
        <v>209</v>
      </c>
      <c r="B28" s="39" t="s">
        <v>210</v>
      </c>
      <c r="C28" s="41">
        <v>1337.25</v>
      </c>
      <c r="D28" s="21">
        <v>868.1</v>
      </c>
      <c r="E28" s="21">
        <v>-1260.57</v>
      </c>
      <c r="H28" s="21"/>
      <c r="O28" s="26">
        <f t="shared" si="1"/>
        <v>944.78</v>
      </c>
      <c r="P28" s="30">
        <f t="shared" si="2"/>
        <v>0</v>
      </c>
      <c r="Q28" s="30">
        <f t="shared" si="3"/>
        <v>0</v>
      </c>
      <c r="R28" s="30">
        <f t="shared" si="4"/>
        <v>0</v>
      </c>
      <c r="S28" s="30">
        <f t="shared" si="5"/>
        <v>944.78</v>
      </c>
      <c r="T28" s="30"/>
      <c r="U28" s="30"/>
      <c r="V28" s="30"/>
      <c r="W28" s="30"/>
    </row>
    <row r="29" ht="14.25" customHeight="1">
      <c r="A29" s="44" t="s">
        <v>213</v>
      </c>
      <c r="B29" s="39" t="s">
        <v>214</v>
      </c>
      <c r="C29" s="41">
        <v>5113.23</v>
      </c>
      <c r="D29" s="21">
        <v>12463.33</v>
      </c>
      <c r="E29" s="21">
        <v>4355.24</v>
      </c>
      <c r="H29" s="21"/>
      <c r="O29" s="26">
        <f t="shared" si="1"/>
        <v>21931.8</v>
      </c>
      <c r="P29" s="30">
        <f t="shared" si="2"/>
        <v>0</v>
      </c>
      <c r="Q29" s="30">
        <f t="shared" si="3"/>
        <v>0</v>
      </c>
      <c r="R29" s="30">
        <f t="shared" si="4"/>
        <v>0</v>
      </c>
      <c r="S29" s="30">
        <f t="shared" si="5"/>
        <v>21931.8</v>
      </c>
      <c r="T29" s="30"/>
      <c r="U29" s="30"/>
      <c r="V29" s="30"/>
      <c r="W29" s="30"/>
    </row>
    <row r="30" ht="14.25" customHeight="1">
      <c r="A30" s="44" t="s">
        <v>215</v>
      </c>
      <c r="B30" s="39" t="s">
        <v>216</v>
      </c>
      <c r="C30" s="41">
        <v>23681.4</v>
      </c>
      <c r="D30" s="21">
        <v>22805.95</v>
      </c>
      <c r="E30" s="21">
        <v>15330.41</v>
      </c>
      <c r="H30" s="21"/>
      <c r="O30" s="26">
        <f t="shared" si="1"/>
        <v>61817.76</v>
      </c>
      <c r="P30" s="30">
        <f t="shared" si="2"/>
        <v>0</v>
      </c>
      <c r="Q30" s="30">
        <f t="shared" si="3"/>
        <v>0</v>
      </c>
      <c r="R30" s="30">
        <f t="shared" si="4"/>
        <v>0</v>
      </c>
      <c r="S30" s="30">
        <f t="shared" si="5"/>
        <v>61817.76</v>
      </c>
      <c r="T30" s="30"/>
      <c r="U30" s="30"/>
      <c r="V30" s="30"/>
      <c r="W30" s="30"/>
    </row>
    <row r="31" ht="14.25" customHeight="1">
      <c r="A31" s="63" t="s">
        <v>217</v>
      </c>
      <c r="B31" s="63" t="s">
        <v>218</v>
      </c>
      <c r="C31" s="65">
        <v>708446.32</v>
      </c>
      <c r="D31" s="67">
        <v>932528.82</v>
      </c>
      <c r="E31" s="67">
        <v>615411.27</v>
      </c>
      <c r="F31" s="21">
        <v>1005492.35</v>
      </c>
      <c r="G31" s="21">
        <v>959625.19</v>
      </c>
      <c r="H31" s="21">
        <v>1060352.37</v>
      </c>
      <c r="O31" s="26">
        <f t="shared" si="1"/>
        <v>2256386.41</v>
      </c>
      <c r="P31" s="30">
        <f t="shared" si="2"/>
        <v>3025469.91</v>
      </c>
      <c r="Q31" s="30">
        <f t="shared" si="3"/>
        <v>0</v>
      </c>
      <c r="R31" s="30">
        <f t="shared" si="4"/>
        <v>0</v>
      </c>
      <c r="S31" s="30">
        <f t="shared" si="5"/>
        <v>5281856.32</v>
      </c>
      <c r="T31" s="30"/>
      <c r="U31" s="30"/>
      <c r="V31" s="30"/>
      <c r="W31" s="30"/>
    </row>
    <row r="32" ht="14.25" customHeight="1">
      <c r="A32" s="39" t="s">
        <v>221</v>
      </c>
      <c r="B32" s="39" t="s">
        <v>222</v>
      </c>
      <c r="C32" s="41">
        <v>539659.25</v>
      </c>
      <c r="D32" s="21">
        <v>824192.58</v>
      </c>
      <c r="E32" s="21">
        <v>574253.27</v>
      </c>
      <c r="F32" s="21">
        <v>501883.86</v>
      </c>
      <c r="G32" s="21">
        <v>544990.72</v>
      </c>
      <c r="H32" s="21">
        <v>636234.54</v>
      </c>
      <c r="O32" s="26">
        <f t="shared" si="1"/>
        <v>1938105.1</v>
      </c>
      <c r="P32" s="30">
        <f t="shared" si="2"/>
        <v>1683109.12</v>
      </c>
      <c r="Q32" s="30">
        <f t="shared" si="3"/>
        <v>0</v>
      </c>
      <c r="R32" s="30">
        <f t="shared" si="4"/>
        <v>0</v>
      </c>
      <c r="S32" s="30">
        <f t="shared" si="5"/>
        <v>3621214.22</v>
      </c>
      <c r="T32" s="30"/>
      <c r="U32" s="30"/>
      <c r="V32" s="30"/>
      <c r="W32" s="30"/>
    </row>
    <row r="33" ht="14.25" customHeight="1">
      <c r="A33" s="39" t="s">
        <v>225</v>
      </c>
      <c r="B33" s="39" t="s">
        <v>226</v>
      </c>
      <c r="C33" s="41">
        <v>378622.09</v>
      </c>
      <c r="D33" s="21">
        <v>641868.66</v>
      </c>
      <c r="E33" s="21">
        <v>416957.3</v>
      </c>
      <c r="H33" s="21"/>
      <c r="O33" s="26">
        <f t="shared" si="1"/>
        <v>1437448.05</v>
      </c>
      <c r="P33" s="30">
        <f t="shared" si="2"/>
        <v>0</v>
      </c>
      <c r="Q33" s="30">
        <f t="shared" si="3"/>
        <v>0</v>
      </c>
      <c r="R33" s="30">
        <f t="shared" si="4"/>
        <v>0</v>
      </c>
      <c r="S33" s="30">
        <f t="shared" si="5"/>
        <v>1437448.05</v>
      </c>
      <c r="T33" s="30">
        <f t="shared" ref="T33:V33" si="6">C32-C65-C73</f>
        <v>378622.09</v>
      </c>
      <c r="U33" s="30">
        <f t="shared" si="6"/>
        <v>641868.66</v>
      </c>
      <c r="V33" s="30">
        <f t="shared" si="6"/>
        <v>416957.3</v>
      </c>
      <c r="W33" s="30">
        <f t="shared" ref="W33:Y33" si="7">F32</f>
        <v>501883.86</v>
      </c>
      <c r="X33" s="30">
        <f t="shared" si="7"/>
        <v>544990.72</v>
      </c>
      <c r="Y33" s="30">
        <f t="shared" si="7"/>
        <v>636234.54</v>
      </c>
    </row>
    <row r="34" ht="14.25" customHeight="1">
      <c r="A34" s="39" t="s">
        <v>227</v>
      </c>
      <c r="B34" s="39" t="s">
        <v>228</v>
      </c>
      <c r="C34" s="70">
        <v>304789.01</v>
      </c>
      <c r="D34" s="71">
        <v>614109.22</v>
      </c>
      <c r="E34" s="71">
        <v>400240.46</v>
      </c>
      <c r="H34" s="21"/>
      <c r="O34" s="26">
        <f t="shared" si="1"/>
        <v>1319138.69</v>
      </c>
      <c r="P34" s="30">
        <f t="shared" si="2"/>
        <v>0</v>
      </c>
      <c r="Q34" s="30">
        <f t="shared" si="3"/>
        <v>0</v>
      </c>
      <c r="R34" s="30">
        <f t="shared" si="4"/>
        <v>0</v>
      </c>
      <c r="S34" s="30">
        <f t="shared" si="5"/>
        <v>1319138.69</v>
      </c>
      <c r="T34" s="30"/>
      <c r="U34" s="30"/>
      <c r="V34" s="30"/>
      <c r="W34" s="30"/>
    </row>
    <row r="35" ht="14.25" customHeight="1">
      <c r="A35" s="44" t="s">
        <v>230</v>
      </c>
      <c r="B35" s="39" t="s">
        <v>231</v>
      </c>
      <c r="C35" s="41">
        <v>108353.66</v>
      </c>
      <c r="D35" s="21">
        <v>106723.65</v>
      </c>
      <c r="E35" s="21">
        <v>66104.57</v>
      </c>
      <c r="H35" s="21"/>
      <c r="O35" s="26">
        <f t="shared" si="1"/>
        <v>281181.88</v>
      </c>
      <c r="P35" s="30">
        <f t="shared" si="2"/>
        <v>0</v>
      </c>
      <c r="Q35" s="30">
        <f t="shared" si="3"/>
        <v>0</v>
      </c>
      <c r="R35" s="30">
        <f t="shared" si="4"/>
        <v>0</v>
      </c>
      <c r="S35" s="30">
        <f t="shared" si="5"/>
        <v>281181.88</v>
      </c>
      <c r="T35" s="30"/>
      <c r="U35" s="30"/>
      <c r="V35" s="30"/>
      <c r="W35" s="30"/>
    </row>
    <row r="36" ht="14.25" customHeight="1">
      <c r="A36" s="44" t="s">
        <v>232</v>
      </c>
      <c r="B36" s="39" t="s">
        <v>233</v>
      </c>
      <c r="C36" s="92">
        <v>88794.54</v>
      </c>
      <c r="D36" s="71">
        <v>405733.11</v>
      </c>
      <c r="E36" s="71">
        <v>263222.53</v>
      </c>
      <c r="F36" s="75">
        <v>165874.32</v>
      </c>
      <c r="G36" s="20">
        <v>0.0</v>
      </c>
      <c r="H36" s="20">
        <v>0.0</v>
      </c>
      <c r="O36" s="26">
        <f t="shared" si="1"/>
        <v>757750.18</v>
      </c>
      <c r="P36" s="30">
        <f t="shared" si="2"/>
        <v>165874.32</v>
      </c>
      <c r="Q36" s="30">
        <f t="shared" si="3"/>
        <v>0</v>
      </c>
      <c r="R36" s="30">
        <f t="shared" si="4"/>
        <v>0</v>
      </c>
      <c r="S36" s="30">
        <f t="shared" si="5"/>
        <v>923624.5</v>
      </c>
      <c r="T36" s="30"/>
      <c r="U36" s="30"/>
      <c r="V36" s="30"/>
      <c r="W36" s="30"/>
    </row>
    <row r="37" ht="14.25" customHeight="1">
      <c r="A37" s="44" t="s">
        <v>236</v>
      </c>
      <c r="B37" s="39" t="s">
        <v>237</v>
      </c>
      <c r="C37" s="41">
        <v>66215.21</v>
      </c>
      <c r="D37" s="21">
        <v>64715.21</v>
      </c>
      <c r="E37" s="21">
        <v>64715.21</v>
      </c>
      <c r="H37" s="21"/>
      <c r="O37" s="26">
        <f t="shared" si="1"/>
        <v>195645.63</v>
      </c>
      <c r="P37" s="30">
        <f t="shared" si="2"/>
        <v>0</v>
      </c>
      <c r="Q37" s="30">
        <f t="shared" si="3"/>
        <v>0</v>
      </c>
      <c r="R37" s="30">
        <f t="shared" si="4"/>
        <v>0</v>
      </c>
      <c r="S37" s="30">
        <f t="shared" si="5"/>
        <v>195645.63</v>
      </c>
      <c r="T37" s="30"/>
      <c r="U37" s="30"/>
      <c r="V37" s="30"/>
      <c r="W37" s="30"/>
    </row>
    <row r="38" ht="14.25" customHeight="1">
      <c r="A38" s="44" t="s">
        <v>238</v>
      </c>
      <c r="B38" s="39" t="s">
        <v>239</v>
      </c>
      <c r="C38" s="41">
        <v>0.0</v>
      </c>
      <c r="D38" s="21">
        <v>106.3</v>
      </c>
      <c r="E38" s="21">
        <v>0.0</v>
      </c>
      <c r="H38" s="21"/>
      <c r="O38" s="26">
        <f t="shared" si="1"/>
        <v>106.3</v>
      </c>
      <c r="P38" s="30">
        <f t="shared" si="2"/>
        <v>0</v>
      </c>
      <c r="Q38" s="30">
        <f t="shared" si="3"/>
        <v>0</v>
      </c>
      <c r="R38" s="30">
        <f t="shared" si="4"/>
        <v>0</v>
      </c>
      <c r="S38" s="30">
        <f t="shared" si="5"/>
        <v>106.3</v>
      </c>
      <c r="T38" s="30"/>
      <c r="U38" s="30"/>
      <c r="V38" s="30"/>
      <c r="W38" s="30"/>
    </row>
    <row r="39" ht="14.25" customHeight="1">
      <c r="A39" s="44" t="s">
        <v>240</v>
      </c>
      <c r="B39" s="39" t="s">
        <v>241</v>
      </c>
      <c r="C39" s="41">
        <v>3152.09</v>
      </c>
      <c r="D39" s="21">
        <v>3440.66</v>
      </c>
      <c r="E39" s="21">
        <v>3440.66</v>
      </c>
      <c r="H39" s="21"/>
      <c r="O39" s="26">
        <f t="shared" si="1"/>
        <v>10033.41</v>
      </c>
      <c r="P39" s="30">
        <f t="shared" si="2"/>
        <v>0</v>
      </c>
      <c r="Q39" s="30">
        <f t="shared" si="3"/>
        <v>0</v>
      </c>
      <c r="R39" s="30">
        <f t="shared" si="4"/>
        <v>0</v>
      </c>
      <c r="S39" s="30">
        <f t="shared" si="5"/>
        <v>10033.41</v>
      </c>
      <c r="T39" s="30"/>
      <c r="U39" s="30"/>
      <c r="V39" s="30"/>
      <c r="W39" s="30"/>
    </row>
    <row r="40" ht="14.25" customHeight="1">
      <c r="A40" s="44" t="s">
        <v>242</v>
      </c>
      <c r="B40" s="39" t="s">
        <v>243</v>
      </c>
      <c r="C40" s="41">
        <v>0.0</v>
      </c>
      <c r="D40" s="21">
        <v>0.0</v>
      </c>
      <c r="E40" s="21">
        <v>430.0</v>
      </c>
      <c r="H40" s="21"/>
      <c r="O40" s="26">
        <f t="shared" si="1"/>
        <v>430</v>
      </c>
      <c r="P40" s="30">
        <f t="shared" si="2"/>
        <v>0</v>
      </c>
      <c r="Q40" s="30">
        <f t="shared" si="3"/>
        <v>0</v>
      </c>
      <c r="R40" s="30">
        <f t="shared" si="4"/>
        <v>0</v>
      </c>
      <c r="S40" s="30">
        <f t="shared" si="5"/>
        <v>430</v>
      </c>
      <c r="T40" s="30"/>
      <c r="U40" s="30"/>
      <c r="V40" s="30"/>
      <c r="W40" s="30"/>
    </row>
    <row r="41" ht="14.25" customHeight="1">
      <c r="A41" s="44" t="s">
        <v>246</v>
      </c>
      <c r="B41" s="39" t="s">
        <v>247</v>
      </c>
      <c r="C41" s="41">
        <v>8292.53</v>
      </c>
      <c r="D41" s="21">
        <v>10263.45</v>
      </c>
      <c r="E41" s="71">
        <v>16753.59</v>
      </c>
      <c r="H41" s="21"/>
      <c r="O41" s="26">
        <f t="shared" si="1"/>
        <v>35309.57</v>
      </c>
      <c r="P41" s="30">
        <f t="shared" si="2"/>
        <v>0</v>
      </c>
      <c r="Q41" s="30">
        <f t="shared" si="3"/>
        <v>0</v>
      </c>
      <c r="R41" s="30">
        <f t="shared" si="4"/>
        <v>0</v>
      </c>
      <c r="S41" s="30">
        <f t="shared" si="5"/>
        <v>35309.57</v>
      </c>
      <c r="T41" s="30"/>
      <c r="U41" s="30"/>
      <c r="V41" s="30"/>
      <c r="W41" s="30"/>
    </row>
    <row r="42" ht="14.25" customHeight="1">
      <c r="A42" s="44" t="s">
        <v>248</v>
      </c>
      <c r="B42" s="39" t="s">
        <v>249</v>
      </c>
      <c r="C42" s="41">
        <v>6156.0</v>
      </c>
      <c r="D42" s="21">
        <v>6414.23</v>
      </c>
      <c r="E42" s="21">
        <v>8692.82</v>
      </c>
      <c r="H42" s="21"/>
      <c r="O42" s="26">
        <f t="shared" si="1"/>
        <v>21263.05</v>
      </c>
      <c r="P42" s="30">
        <f t="shared" si="2"/>
        <v>0</v>
      </c>
      <c r="Q42" s="30">
        <f t="shared" si="3"/>
        <v>0</v>
      </c>
      <c r="R42" s="30">
        <f t="shared" si="4"/>
        <v>0</v>
      </c>
      <c r="S42" s="30">
        <f t="shared" si="5"/>
        <v>21263.05</v>
      </c>
      <c r="T42" s="30"/>
      <c r="U42" s="30"/>
      <c r="V42" s="30"/>
      <c r="W42" s="30"/>
    </row>
    <row r="43" ht="14.25" customHeight="1">
      <c r="A43" s="44" t="s">
        <v>250</v>
      </c>
      <c r="B43" s="39" t="s">
        <v>251</v>
      </c>
      <c r="C43" s="41">
        <v>1520.57</v>
      </c>
      <c r="D43" s="21">
        <v>1364.34</v>
      </c>
      <c r="E43" s="21">
        <v>1523.74</v>
      </c>
      <c r="H43" s="21"/>
      <c r="O43" s="26">
        <f t="shared" si="1"/>
        <v>4408.65</v>
      </c>
      <c r="P43" s="30">
        <f t="shared" si="2"/>
        <v>0</v>
      </c>
      <c r="Q43" s="30">
        <f t="shared" si="3"/>
        <v>0</v>
      </c>
      <c r="R43" s="30">
        <f t="shared" si="4"/>
        <v>0</v>
      </c>
      <c r="S43" s="30">
        <f t="shared" si="5"/>
        <v>4408.65</v>
      </c>
      <c r="T43" s="30"/>
      <c r="U43" s="30"/>
      <c r="V43" s="30"/>
      <c r="W43" s="30"/>
    </row>
    <row r="44" ht="14.25" customHeight="1">
      <c r="A44" s="44" t="s">
        <v>253</v>
      </c>
      <c r="B44" s="39" t="s">
        <v>255</v>
      </c>
      <c r="C44" s="41">
        <v>3036.0</v>
      </c>
      <c r="D44" s="21">
        <v>3036.0</v>
      </c>
      <c r="E44" s="21">
        <v>3036.0</v>
      </c>
      <c r="H44" s="21"/>
      <c r="O44" s="26">
        <f t="shared" si="1"/>
        <v>9108</v>
      </c>
      <c r="P44" s="30">
        <f t="shared" si="2"/>
        <v>0</v>
      </c>
      <c r="Q44" s="30">
        <f t="shared" si="3"/>
        <v>0</v>
      </c>
      <c r="R44" s="30">
        <f t="shared" si="4"/>
        <v>0</v>
      </c>
      <c r="S44" s="30">
        <f t="shared" si="5"/>
        <v>9108</v>
      </c>
      <c r="T44" s="30"/>
      <c r="U44" s="30"/>
      <c r="V44" s="30"/>
      <c r="W44" s="30"/>
    </row>
    <row r="45" ht="14.25" customHeight="1">
      <c r="A45" s="44" t="s">
        <v>256</v>
      </c>
      <c r="B45" s="39" t="s">
        <v>257</v>
      </c>
      <c r="C45" s="41">
        <v>2835.54</v>
      </c>
      <c r="D45" s="21">
        <v>754.05</v>
      </c>
      <c r="E45" s="21">
        <v>170.52</v>
      </c>
      <c r="H45" s="21"/>
      <c r="O45" s="26">
        <f t="shared" si="1"/>
        <v>3760.11</v>
      </c>
      <c r="P45" s="30">
        <f t="shared" si="2"/>
        <v>0</v>
      </c>
      <c r="Q45" s="30">
        <f t="shared" si="3"/>
        <v>0</v>
      </c>
      <c r="R45" s="30">
        <f t="shared" si="4"/>
        <v>0</v>
      </c>
      <c r="S45" s="30">
        <f t="shared" si="5"/>
        <v>3760.11</v>
      </c>
      <c r="T45" s="30"/>
      <c r="U45" s="30"/>
      <c r="V45" s="30"/>
      <c r="W45" s="30"/>
    </row>
    <row r="46" ht="14.25" customHeight="1">
      <c r="A46" s="44" t="s">
        <v>258</v>
      </c>
      <c r="B46" s="39" t="s">
        <v>259</v>
      </c>
      <c r="C46" s="41">
        <v>888.24</v>
      </c>
      <c r="D46" s="21">
        <v>888.24</v>
      </c>
      <c r="E46" s="21">
        <v>888.24</v>
      </c>
      <c r="H46" s="21"/>
      <c r="O46" s="26">
        <f t="shared" si="1"/>
        <v>2664.72</v>
      </c>
      <c r="P46" s="30">
        <f t="shared" si="2"/>
        <v>0</v>
      </c>
      <c r="Q46" s="30">
        <f t="shared" si="3"/>
        <v>0</v>
      </c>
      <c r="R46" s="30">
        <f t="shared" si="4"/>
        <v>0</v>
      </c>
      <c r="S46" s="30">
        <f t="shared" si="5"/>
        <v>2664.72</v>
      </c>
      <c r="T46" s="30"/>
      <c r="U46" s="30"/>
      <c r="V46" s="30"/>
      <c r="W46" s="30"/>
    </row>
    <row r="47" ht="14.25" customHeight="1">
      <c r="A47" s="44" t="s">
        <v>260</v>
      </c>
      <c r="B47" s="39" t="s">
        <v>261</v>
      </c>
      <c r="C47" s="41">
        <v>0.0</v>
      </c>
      <c r="D47" s="21">
        <v>757.15</v>
      </c>
      <c r="E47" s="21">
        <v>284.0</v>
      </c>
      <c r="H47" s="21"/>
      <c r="O47" s="26">
        <f t="shared" si="1"/>
        <v>1041.15</v>
      </c>
      <c r="P47" s="30">
        <f t="shared" si="2"/>
        <v>0</v>
      </c>
      <c r="Q47" s="30">
        <f t="shared" si="3"/>
        <v>0</v>
      </c>
      <c r="R47" s="30">
        <f t="shared" si="4"/>
        <v>0</v>
      </c>
      <c r="S47" s="30">
        <f t="shared" si="5"/>
        <v>1041.15</v>
      </c>
      <c r="T47" s="30"/>
      <c r="U47" s="30"/>
      <c r="V47" s="30"/>
      <c r="W47" s="30"/>
    </row>
    <row r="48" ht="14.25" customHeight="1">
      <c r="A48" s="44" t="s">
        <v>264</v>
      </c>
      <c r="B48" s="39" t="s">
        <v>265</v>
      </c>
      <c r="C48" s="41">
        <v>5610.0</v>
      </c>
      <c r="D48" s="21">
        <v>0.0</v>
      </c>
      <c r="E48" s="21">
        <v>0.0</v>
      </c>
      <c r="H48" s="21"/>
      <c r="O48" s="26">
        <f t="shared" si="1"/>
        <v>5610</v>
      </c>
      <c r="P48" s="30">
        <f t="shared" si="2"/>
        <v>0</v>
      </c>
      <c r="Q48" s="30">
        <f t="shared" si="3"/>
        <v>0</v>
      </c>
      <c r="R48" s="30">
        <f t="shared" si="4"/>
        <v>0</v>
      </c>
      <c r="S48" s="30">
        <f t="shared" si="5"/>
        <v>5610</v>
      </c>
      <c r="T48" s="30"/>
      <c r="U48" s="30"/>
      <c r="V48" s="30"/>
      <c r="W48" s="30"/>
    </row>
    <row r="49" ht="14.25" customHeight="1">
      <c r="A49" s="44" t="s">
        <v>266</v>
      </c>
      <c r="B49" s="39" t="s">
        <v>267</v>
      </c>
      <c r="C49" s="41">
        <v>1000.35</v>
      </c>
      <c r="D49" s="21">
        <v>994.69</v>
      </c>
      <c r="E49" s="21">
        <v>767.24</v>
      </c>
      <c r="H49" s="21"/>
      <c r="O49" s="26">
        <f t="shared" si="1"/>
        <v>2762.28</v>
      </c>
      <c r="P49" s="30">
        <f t="shared" si="2"/>
        <v>0</v>
      </c>
      <c r="Q49" s="30">
        <f t="shared" si="3"/>
        <v>0</v>
      </c>
      <c r="R49" s="30">
        <f t="shared" si="4"/>
        <v>0</v>
      </c>
      <c r="S49" s="30">
        <f t="shared" si="5"/>
        <v>2762.28</v>
      </c>
      <c r="T49" s="30"/>
      <c r="U49" s="30"/>
      <c r="V49" s="30"/>
      <c r="W49" s="30"/>
    </row>
    <row r="50" ht="14.25" customHeight="1">
      <c r="A50" s="44" t="s">
        <v>270</v>
      </c>
      <c r="B50" s="39" t="s">
        <v>271</v>
      </c>
      <c r="C50" s="41">
        <v>350.0</v>
      </c>
      <c r="D50" s="21">
        <v>260.06</v>
      </c>
      <c r="E50" s="21">
        <v>2076.98</v>
      </c>
      <c r="H50" s="21"/>
      <c r="O50" s="26">
        <f t="shared" si="1"/>
        <v>2687.04</v>
      </c>
      <c r="P50" s="30">
        <f t="shared" si="2"/>
        <v>0</v>
      </c>
      <c r="Q50" s="30">
        <f t="shared" si="3"/>
        <v>0</v>
      </c>
      <c r="R50" s="30">
        <f t="shared" si="4"/>
        <v>0</v>
      </c>
      <c r="S50" s="30">
        <f t="shared" si="5"/>
        <v>2687.04</v>
      </c>
      <c r="T50" s="30"/>
      <c r="U50" s="30"/>
      <c r="V50" s="30"/>
      <c r="W50" s="30"/>
    </row>
    <row r="51" ht="14.25" customHeight="1">
      <c r="A51" s="44" t="s">
        <v>272</v>
      </c>
      <c r="B51" s="39" t="s">
        <v>273</v>
      </c>
      <c r="C51" s="41">
        <v>2752.0</v>
      </c>
      <c r="D51" s="21">
        <v>4052.0</v>
      </c>
      <c r="E51" s="21">
        <v>2752.0</v>
      </c>
      <c r="H51" s="21"/>
      <c r="O51" s="26">
        <f t="shared" si="1"/>
        <v>9556</v>
      </c>
      <c r="P51" s="30">
        <f t="shared" si="2"/>
        <v>0</v>
      </c>
      <c r="Q51" s="30">
        <f t="shared" si="3"/>
        <v>0</v>
      </c>
      <c r="R51" s="30">
        <f t="shared" si="4"/>
        <v>0</v>
      </c>
      <c r="S51" s="30">
        <f t="shared" si="5"/>
        <v>9556</v>
      </c>
      <c r="T51" s="30"/>
      <c r="U51" s="30"/>
      <c r="V51" s="30"/>
      <c r="W51" s="30"/>
    </row>
    <row r="52" ht="14.25" customHeight="1">
      <c r="A52" s="44" t="s">
        <v>276</v>
      </c>
      <c r="B52" s="39" t="s">
        <v>278</v>
      </c>
      <c r="C52" s="70">
        <v>2303.47</v>
      </c>
      <c r="D52" s="21">
        <v>575.88</v>
      </c>
      <c r="E52" s="21">
        <v>595.52</v>
      </c>
      <c r="H52" s="21"/>
      <c r="O52" s="26">
        <f t="shared" si="1"/>
        <v>3474.87</v>
      </c>
      <c r="P52" s="30">
        <f t="shared" si="2"/>
        <v>0</v>
      </c>
      <c r="Q52" s="30">
        <f t="shared" si="3"/>
        <v>0</v>
      </c>
      <c r="R52" s="30">
        <f t="shared" si="4"/>
        <v>0</v>
      </c>
      <c r="S52" s="30">
        <f t="shared" si="5"/>
        <v>3474.87</v>
      </c>
      <c r="T52" s="30"/>
      <c r="U52" s="30"/>
      <c r="V52" s="30"/>
      <c r="W52" s="30"/>
    </row>
    <row r="53" ht="14.25" customHeight="1">
      <c r="A53" s="44" t="s">
        <v>282</v>
      </c>
      <c r="B53" s="39" t="s">
        <v>283</v>
      </c>
      <c r="C53" s="41">
        <v>2078.81</v>
      </c>
      <c r="D53" s="21">
        <v>2668.2</v>
      </c>
      <c r="E53" s="21">
        <v>90.0</v>
      </c>
      <c r="H53" s="21"/>
      <c r="O53" s="26">
        <f t="shared" si="1"/>
        <v>4837.01</v>
      </c>
      <c r="P53" s="30">
        <f t="shared" si="2"/>
        <v>0</v>
      </c>
      <c r="Q53" s="30">
        <f t="shared" si="3"/>
        <v>0</v>
      </c>
      <c r="R53" s="30">
        <f t="shared" si="4"/>
        <v>0</v>
      </c>
      <c r="S53" s="30">
        <f t="shared" si="5"/>
        <v>4837.01</v>
      </c>
      <c r="T53" s="30"/>
      <c r="U53" s="30"/>
      <c r="V53" s="30"/>
      <c r="W53" s="30"/>
    </row>
    <row r="54" ht="14.25" customHeight="1">
      <c r="A54" s="44" t="s">
        <v>285</v>
      </c>
      <c r="B54" s="39" t="s">
        <v>286</v>
      </c>
      <c r="C54" s="41">
        <v>0.0</v>
      </c>
      <c r="D54" s="21">
        <v>32.0</v>
      </c>
      <c r="E54" s="21">
        <v>77.32</v>
      </c>
      <c r="H54" s="21"/>
      <c r="O54" s="26">
        <f t="shared" si="1"/>
        <v>109.32</v>
      </c>
      <c r="P54" s="30">
        <f t="shared" si="2"/>
        <v>0</v>
      </c>
      <c r="Q54" s="30">
        <f t="shared" si="3"/>
        <v>0</v>
      </c>
      <c r="R54" s="30">
        <f t="shared" si="4"/>
        <v>0</v>
      </c>
      <c r="S54" s="30">
        <f t="shared" si="5"/>
        <v>109.32</v>
      </c>
      <c r="T54" s="30"/>
      <c r="U54" s="30"/>
      <c r="V54" s="30"/>
      <c r="W54" s="30"/>
    </row>
    <row r="55" ht="14.25" customHeight="1">
      <c r="A55" s="44" t="s">
        <v>288</v>
      </c>
      <c r="B55" s="39" t="s">
        <v>289</v>
      </c>
      <c r="C55" s="41">
        <v>450.0</v>
      </c>
      <c r="D55" s="21">
        <v>330.0</v>
      </c>
      <c r="E55" s="21">
        <v>0.0</v>
      </c>
      <c r="H55" s="21"/>
      <c r="O55" s="26">
        <f t="shared" si="1"/>
        <v>780</v>
      </c>
      <c r="P55" s="30">
        <f t="shared" si="2"/>
        <v>0</v>
      </c>
      <c r="Q55" s="30">
        <f t="shared" si="3"/>
        <v>0</v>
      </c>
      <c r="R55" s="30">
        <f t="shared" si="4"/>
        <v>0</v>
      </c>
      <c r="S55" s="30">
        <f t="shared" si="5"/>
        <v>780</v>
      </c>
      <c r="T55" s="30"/>
      <c r="U55" s="30"/>
      <c r="V55" s="30"/>
      <c r="W55" s="30"/>
    </row>
    <row r="56" ht="14.25" customHeight="1">
      <c r="A56" s="44" t="s">
        <v>291</v>
      </c>
      <c r="B56" s="39" t="s">
        <v>293</v>
      </c>
      <c r="C56" s="41">
        <v>1000.0</v>
      </c>
      <c r="D56" s="21">
        <v>1000.0</v>
      </c>
      <c r="E56" s="21">
        <v>1000.0</v>
      </c>
      <c r="H56" s="21"/>
      <c r="O56" s="26">
        <f t="shared" si="1"/>
        <v>3000</v>
      </c>
      <c r="P56" s="30">
        <f t="shared" si="2"/>
        <v>0</v>
      </c>
      <c r="Q56" s="30">
        <f t="shared" si="3"/>
        <v>0</v>
      </c>
      <c r="R56" s="30">
        <f t="shared" si="4"/>
        <v>0</v>
      </c>
      <c r="S56" s="30">
        <f t="shared" si="5"/>
        <v>3000</v>
      </c>
      <c r="T56" s="30"/>
      <c r="U56" s="30"/>
      <c r="V56" s="30"/>
      <c r="W56" s="30"/>
    </row>
    <row r="57" ht="14.25" customHeight="1">
      <c r="A57" s="39" t="s">
        <v>295</v>
      </c>
      <c r="B57" s="39" t="s">
        <v>296</v>
      </c>
      <c r="C57" s="41">
        <v>51210.04</v>
      </c>
      <c r="D57" s="21">
        <v>1429.87</v>
      </c>
      <c r="E57" s="21">
        <v>11561.56</v>
      </c>
      <c r="H57" s="21"/>
      <c r="O57" s="26">
        <f t="shared" si="1"/>
        <v>64201.47</v>
      </c>
      <c r="P57" s="30">
        <f t="shared" si="2"/>
        <v>0</v>
      </c>
      <c r="Q57" s="30">
        <f t="shared" si="3"/>
        <v>0</v>
      </c>
      <c r="R57" s="30">
        <f t="shared" si="4"/>
        <v>0</v>
      </c>
      <c r="S57" s="30">
        <f t="shared" si="5"/>
        <v>64201.47</v>
      </c>
      <c r="T57" s="30"/>
      <c r="U57" s="30"/>
      <c r="V57" s="30"/>
      <c r="W57" s="30"/>
    </row>
    <row r="58" ht="14.25" customHeight="1">
      <c r="A58" s="44" t="s">
        <v>297</v>
      </c>
      <c r="B58" s="39" t="s">
        <v>298</v>
      </c>
      <c r="C58" s="70">
        <v>51210.04</v>
      </c>
      <c r="D58" s="71">
        <v>1429.87</v>
      </c>
      <c r="E58" s="71">
        <v>11561.56</v>
      </c>
      <c r="H58" s="21"/>
      <c r="O58" s="26">
        <f t="shared" si="1"/>
        <v>64201.47</v>
      </c>
      <c r="P58" s="30">
        <f t="shared" si="2"/>
        <v>0</v>
      </c>
      <c r="Q58" s="30">
        <f t="shared" si="3"/>
        <v>0</v>
      </c>
      <c r="R58" s="30">
        <f t="shared" si="4"/>
        <v>0</v>
      </c>
      <c r="S58" s="30">
        <f t="shared" si="5"/>
        <v>64201.47</v>
      </c>
      <c r="T58" s="30"/>
      <c r="U58" s="30"/>
      <c r="V58" s="30"/>
      <c r="W58" s="30"/>
    </row>
    <row r="59" ht="14.25" customHeight="1">
      <c r="A59" s="39" t="s">
        <v>299</v>
      </c>
      <c r="B59" s="39" t="s">
        <v>300</v>
      </c>
      <c r="C59" s="70">
        <v>10028.48</v>
      </c>
      <c r="D59" s="71">
        <v>0.0</v>
      </c>
      <c r="E59" s="71">
        <v>7668.4</v>
      </c>
      <c r="H59" s="21"/>
      <c r="O59" s="26">
        <f t="shared" si="1"/>
        <v>17696.88</v>
      </c>
      <c r="P59" s="30">
        <f t="shared" si="2"/>
        <v>0</v>
      </c>
      <c r="Q59" s="30">
        <f t="shared" si="3"/>
        <v>0</v>
      </c>
      <c r="R59" s="30">
        <f t="shared" si="4"/>
        <v>0</v>
      </c>
      <c r="S59" s="30">
        <f t="shared" si="5"/>
        <v>17696.88</v>
      </c>
      <c r="T59" s="30"/>
      <c r="U59" s="30"/>
      <c r="V59" s="30"/>
      <c r="W59" s="30"/>
    </row>
    <row r="60" ht="14.25" customHeight="1">
      <c r="A60" s="39" t="s">
        <v>301</v>
      </c>
      <c r="B60" s="39" t="s">
        <v>302</v>
      </c>
      <c r="C60" s="70">
        <v>3050.5</v>
      </c>
      <c r="D60" s="71">
        <v>0.0</v>
      </c>
      <c r="E60" s="71">
        <v>3893.16</v>
      </c>
      <c r="H60" s="21"/>
      <c r="O60" s="26">
        <f t="shared" si="1"/>
        <v>6943.66</v>
      </c>
      <c r="P60" s="30">
        <f t="shared" si="2"/>
        <v>0</v>
      </c>
      <c r="Q60" s="30">
        <f t="shared" si="3"/>
        <v>0</v>
      </c>
      <c r="R60" s="30">
        <f t="shared" si="4"/>
        <v>0</v>
      </c>
      <c r="S60" s="30">
        <f t="shared" si="5"/>
        <v>6943.66</v>
      </c>
      <c r="T60" s="30"/>
      <c r="U60" s="30"/>
      <c r="V60" s="30"/>
      <c r="W60" s="30"/>
    </row>
    <row r="61" ht="14.25" customHeight="1">
      <c r="A61" s="39" t="s">
        <v>303</v>
      </c>
      <c r="B61" s="39" t="s">
        <v>304</v>
      </c>
      <c r="C61" s="41">
        <v>22623.04</v>
      </c>
      <c r="D61" s="21">
        <v>26329.57</v>
      </c>
      <c r="E61" s="21">
        <v>5155.28</v>
      </c>
      <c r="H61" s="21"/>
      <c r="O61" s="26">
        <f t="shared" si="1"/>
        <v>54107.89</v>
      </c>
      <c r="P61" s="30">
        <f t="shared" si="2"/>
        <v>0</v>
      </c>
      <c r="Q61" s="30">
        <f t="shared" si="3"/>
        <v>0</v>
      </c>
      <c r="R61" s="30">
        <f t="shared" si="4"/>
        <v>0</v>
      </c>
      <c r="S61" s="30">
        <f t="shared" si="5"/>
        <v>54107.89</v>
      </c>
      <c r="T61" s="30"/>
      <c r="U61" s="30"/>
      <c r="V61" s="30"/>
      <c r="W61" s="30"/>
    </row>
    <row r="62" ht="14.25" customHeight="1">
      <c r="A62" s="44" t="s">
        <v>305</v>
      </c>
      <c r="B62" s="39" t="s">
        <v>306</v>
      </c>
      <c r="C62" s="70">
        <v>16836.49</v>
      </c>
      <c r="D62" s="71">
        <v>19601.83</v>
      </c>
      <c r="E62" s="71">
        <v>0.0</v>
      </c>
      <c r="H62" s="21"/>
      <c r="O62" s="26">
        <f t="shared" si="1"/>
        <v>36438.32</v>
      </c>
      <c r="P62" s="30">
        <f t="shared" si="2"/>
        <v>0</v>
      </c>
      <c r="Q62" s="30">
        <f t="shared" si="3"/>
        <v>0</v>
      </c>
      <c r="R62" s="30">
        <f t="shared" si="4"/>
        <v>0</v>
      </c>
      <c r="S62" s="30">
        <f t="shared" si="5"/>
        <v>36438.32</v>
      </c>
      <c r="T62" s="30"/>
      <c r="U62" s="30"/>
      <c r="V62" s="30"/>
      <c r="W62" s="30"/>
    </row>
    <row r="63" ht="14.25" customHeight="1">
      <c r="A63" s="44" t="s">
        <v>308</v>
      </c>
      <c r="B63" s="39" t="s">
        <v>310</v>
      </c>
      <c r="C63" s="70">
        <v>4428.0</v>
      </c>
      <c r="D63" s="71">
        <v>5155.28</v>
      </c>
      <c r="E63" s="71">
        <v>5155.28</v>
      </c>
      <c r="H63" s="21"/>
      <c r="O63" s="26">
        <f t="shared" si="1"/>
        <v>14738.56</v>
      </c>
      <c r="P63" s="30">
        <f t="shared" si="2"/>
        <v>0</v>
      </c>
      <c r="Q63" s="30">
        <f t="shared" si="3"/>
        <v>0</v>
      </c>
      <c r="R63" s="30">
        <f t="shared" si="4"/>
        <v>0</v>
      </c>
      <c r="S63" s="30">
        <f t="shared" si="5"/>
        <v>14738.56</v>
      </c>
      <c r="T63" s="30"/>
      <c r="U63" s="30"/>
      <c r="V63" s="30"/>
      <c r="W63" s="30"/>
    </row>
    <row r="64" ht="14.25" customHeight="1">
      <c r="A64" s="44" t="s">
        <v>311</v>
      </c>
      <c r="B64" s="39" t="s">
        <v>312</v>
      </c>
      <c r="C64" s="70">
        <v>1358.55</v>
      </c>
      <c r="D64" s="71">
        <v>1572.46</v>
      </c>
      <c r="E64" s="71">
        <v>0.0</v>
      </c>
      <c r="H64" s="21"/>
      <c r="O64" s="26">
        <f t="shared" si="1"/>
        <v>2931.01</v>
      </c>
      <c r="P64" s="30">
        <f t="shared" si="2"/>
        <v>0</v>
      </c>
      <c r="Q64" s="30">
        <f t="shared" si="3"/>
        <v>0</v>
      </c>
      <c r="R64" s="30">
        <f t="shared" si="4"/>
        <v>0</v>
      </c>
      <c r="S64" s="30">
        <f t="shared" si="5"/>
        <v>2931.01</v>
      </c>
      <c r="T64" s="30"/>
      <c r="U64" s="30"/>
      <c r="V64" s="30"/>
      <c r="W64" s="30"/>
    </row>
    <row r="65" ht="14.25" customHeight="1">
      <c r="A65" s="39" t="s">
        <v>313</v>
      </c>
      <c r="B65" s="39" t="s">
        <v>314</v>
      </c>
      <c r="C65" s="41">
        <v>157893.94</v>
      </c>
      <c r="D65" s="21">
        <v>180866.37</v>
      </c>
      <c r="E65" s="21">
        <v>155860.26</v>
      </c>
      <c r="H65" s="21"/>
      <c r="O65" s="26">
        <f t="shared" si="1"/>
        <v>494620.57</v>
      </c>
      <c r="P65" s="30">
        <f t="shared" si="2"/>
        <v>0</v>
      </c>
      <c r="Q65" s="30">
        <f t="shared" si="3"/>
        <v>0</v>
      </c>
      <c r="R65" s="30">
        <f t="shared" si="4"/>
        <v>0</v>
      </c>
      <c r="S65" s="30">
        <f t="shared" si="5"/>
        <v>494620.57</v>
      </c>
      <c r="T65" s="30"/>
      <c r="U65" s="30"/>
      <c r="V65" s="30"/>
      <c r="W65" s="30"/>
    </row>
    <row r="66" ht="14.25" customHeight="1">
      <c r="A66" s="39" t="s">
        <v>317</v>
      </c>
      <c r="B66" s="39" t="s">
        <v>318</v>
      </c>
      <c r="C66" s="41">
        <v>157893.94</v>
      </c>
      <c r="D66" s="21">
        <v>180866.37</v>
      </c>
      <c r="E66" s="21">
        <v>155860.26</v>
      </c>
      <c r="H66" s="21"/>
      <c r="O66" s="26">
        <f t="shared" si="1"/>
        <v>494620.57</v>
      </c>
      <c r="P66" s="30">
        <f t="shared" si="2"/>
        <v>0</v>
      </c>
      <c r="Q66" s="30">
        <f t="shared" si="3"/>
        <v>0</v>
      </c>
      <c r="R66" s="30">
        <f t="shared" si="4"/>
        <v>0</v>
      </c>
      <c r="S66" s="30">
        <f t="shared" si="5"/>
        <v>494620.57</v>
      </c>
      <c r="T66" s="30"/>
      <c r="U66" s="30"/>
      <c r="V66" s="30"/>
      <c r="W66" s="30"/>
    </row>
    <row r="67" ht="14.25" customHeight="1">
      <c r="A67" s="44" t="s">
        <v>319</v>
      </c>
      <c r="B67" s="39" t="s">
        <v>320</v>
      </c>
      <c r="C67" s="41">
        <v>111694.07</v>
      </c>
      <c r="D67" s="21">
        <v>126848.22</v>
      </c>
      <c r="E67" s="21">
        <v>109022.9</v>
      </c>
      <c r="F67" s="21">
        <v>136960.46</v>
      </c>
      <c r="G67" s="21">
        <v>130683.03</v>
      </c>
      <c r="H67" s="21">
        <v>144361.5</v>
      </c>
      <c r="O67" s="26">
        <f t="shared" si="1"/>
        <v>347565.19</v>
      </c>
      <c r="P67" s="30">
        <f t="shared" si="2"/>
        <v>412004.99</v>
      </c>
      <c r="Q67" s="30">
        <f t="shared" si="3"/>
        <v>0</v>
      </c>
      <c r="R67" s="30">
        <f t="shared" si="4"/>
        <v>0</v>
      </c>
      <c r="S67" s="101">
        <f t="shared" si="5"/>
        <v>759570.18</v>
      </c>
      <c r="T67" s="30"/>
      <c r="U67" s="30"/>
      <c r="V67" s="30"/>
      <c r="W67" s="30"/>
    </row>
    <row r="68" ht="14.25" customHeight="1">
      <c r="A68" s="44" t="s">
        <v>323</v>
      </c>
      <c r="B68" s="39" t="s">
        <v>324</v>
      </c>
      <c r="C68" s="41">
        <v>42369.87</v>
      </c>
      <c r="D68" s="21">
        <v>45665.36</v>
      </c>
      <c r="E68" s="21">
        <v>39248.24</v>
      </c>
      <c r="F68" s="21">
        <v>51465.77</v>
      </c>
      <c r="G68" s="21">
        <v>47045.89</v>
      </c>
      <c r="H68" s="21">
        <v>51970.14</v>
      </c>
      <c r="O68" s="26">
        <f t="shared" si="1"/>
        <v>127283.47</v>
      </c>
      <c r="P68" s="30">
        <f t="shared" si="2"/>
        <v>150481.8</v>
      </c>
      <c r="Q68" s="30">
        <f t="shared" si="3"/>
        <v>0</v>
      </c>
      <c r="R68" s="30">
        <f t="shared" si="4"/>
        <v>0</v>
      </c>
      <c r="S68" s="101">
        <f t="shared" si="5"/>
        <v>277765.27</v>
      </c>
      <c r="T68" s="30"/>
      <c r="U68" s="30"/>
      <c r="V68" s="30"/>
      <c r="W68" s="30"/>
    </row>
    <row r="69" ht="14.25" customHeight="1">
      <c r="A69" s="44" t="s">
        <v>325</v>
      </c>
      <c r="B69" s="39" t="s">
        <v>326</v>
      </c>
      <c r="C69" s="41">
        <v>0.0</v>
      </c>
      <c r="D69" s="21">
        <v>306.12</v>
      </c>
      <c r="E69" s="21">
        <v>0.0</v>
      </c>
      <c r="F69" s="21"/>
      <c r="G69" s="21"/>
      <c r="H69" s="21"/>
      <c r="O69" s="26">
        <f t="shared" si="1"/>
        <v>306.12</v>
      </c>
      <c r="P69" s="30">
        <f t="shared" si="2"/>
        <v>0</v>
      </c>
      <c r="Q69" s="30">
        <f t="shared" si="3"/>
        <v>0</v>
      </c>
      <c r="R69" s="30">
        <f t="shared" si="4"/>
        <v>0</v>
      </c>
      <c r="S69" s="30">
        <f t="shared" si="5"/>
        <v>306.12</v>
      </c>
      <c r="T69" s="30"/>
      <c r="U69" s="30"/>
      <c r="V69" s="30"/>
      <c r="W69" s="30"/>
    </row>
    <row r="70" ht="14.25" customHeight="1">
      <c r="A70" s="44" t="s">
        <v>329</v>
      </c>
      <c r="B70" s="39" t="s">
        <v>330</v>
      </c>
      <c r="C70" s="41">
        <v>3830.0</v>
      </c>
      <c r="D70" s="21">
        <v>5814.1</v>
      </c>
      <c r="E70" s="21">
        <v>5699.12</v>
      </c>
      <c r="F70" s="21"/>
      <c r="G70" s="21"/>
      <c r="H70" s="21"/>
      <c r="O70" s="26">
        <f t="shared" si="1"/>
        <v>15343.22</v>
      </c>
      <c r="P70" s="30">
        <f t="shared" si="2"/>
        <v>0</v>
      </c>
      <c r="Q70" s="30">
        <f t="shared" si="3"/>
        <v>0</v>
      </c>
      <c r="R70" s="30">
        <f t="shared" si="4"/>
        <v>0</v>
      </c>
      <c r="S70" s="30">
        <f t="shared" si="5"/>
        <v>15343.22</v>
      </c>
      <c r="T70" s="30"/>
      <c r="U70" s="30"/>
      <c r="V70" s="30"/>
      <c r="W70" s="30"/>
    </row>
    <row r="71" ht="14.25" customHeight="1">
      <c r="A71" s="44" t="s">
        <v>331</v>
      </c>
      <c r="B71" s="39" t="s">
        <v>332</v>
      </c>
      <c r="C71" s="41">
        <v>0.0</v>
      </c>
      <c r="D71" s="21">
        <v>0.57</v>
      </c>
      <c r="E71" s="21">
        <v>0.0</v>
      </c>
      <c r="F71" s="21"/>
      <c r="G71" s="21"/>
      <c r="H71" s="21"/>
      <c r="O71" s="26">
        <f t="shared" si="1"/>
        <v>0.57</v>
      </c>
      <c r="P71" s="30">
        <f t="shared" si="2"/>
        <v>0</v>
      </c>
      <c r="Q71" s="30">
        <f t="shared" si="3"/>
        <v>0</v>
      </c>
      <c r="R71" s="30">
        <f t="shared" si="4"/>
        <v>0</v>
      </c>
      <c r="S71" s="30">
        <f t="shared" si="5"/>
        <v>0.57</v>
      </c>
      <c r="T71" s="30"/>
      <c r="U71" s="30"/>
      <c r="V71" s="30"/>
      <c r="W71" s="30"/>
    </row>
    <row r="72" ht="14.25" customHeight="1">
      <c r="A72" s="44" t="s">
        <v>335</v>
      </c>
      <c r="B72" s="39" t="s">
        <v>336</v>
      </c>
      <c r="C72" s="41">
        <v>0.0</v>
      </c>
      <c r="D72" s="21">
        <v>2232.0</v>
      </c>
      <c r="E72" s="21">
        <v>1890.0</v>
      </c>
      <c r="F72" s="21"/>
      <c r="G72" s="21"/>
      <c r="H72" s="21"/>
      <c r="O72" s="26">
        <f t="shared" si="1"/>
        <v>4122</v>
      </c>
      <c r="P72" s="30">
        <f t="shared" si="2"/>
        <v>0</v>
      </c>
      <c r="Q72" s="30">
        <f t="shared" si="3"/>
        <v>0</v>
      </c>
      <c r="R72" s="30">
        <f t="shared" si="4"/>
        <v>0</v>
      </c>
      <c r="S72" s="30">
        <f t="shared" si="5"/>
        <v>4122</v>
      </c>
      <c r="T72" s="30"/>
      <c r="U72" s="30"/>
      <c r="V72" s="30"/>
      <c r="W72" s="30"/>
    </row>
    <row r="73" ht="14.25" customHeight="1">
      <c r="A73" s="39" t="s">
        <v>337</v>
      </c>
      <c r="B73" s="39" t="s">
        <v>338</v>
      </c>
      <c r="C73" s="41">
        <v>3143.22</v>
      </c>
      <c r="D73" s="21">
        <v>1457.55</v>
      </c>
      <c r="E73" s="21">
        <v>1435.71</v>
      </c>
      <c r="F73" s="75">
        <v>1750.56</v>
      </c>
      <c r="G73" s="75">
        <v>42952.75</v>
      </c>
      <c r="H73" s="20">
        <v>799.26</v>
      </c>
      <c r="O73" s="26">
        <f t="shared" si="1"/>
        <v>6036.48</v>
      </c>
      <c r="P73" s="30">
        <f t="shared" si="2"/>
        <v>45502.57</v>
      </c>
      <c r="Q73" s="30">
        <f t="shared" si="3"/>
        <v>0</v>
      </c>
      <c r="R73" s="30">
        <f t="shared" si="4"/>
        <v>0</v>
      </c>
      <c r="S73" s="30">
        <f t="shared" si="5"/>
        <v>51539.05</v>
      </c>
      <c r="T73" s="30"/>
      <c r="U73" s="30"/>
      <c r="V73" s="30"/>
      <c r="W73" s="30"/>
    </row>
    <row r="74" ht="14.25" customHeight="1">
      <c r="A74" s="39" t="s">
        <v>339</v>
      </c>
      <c r="B74" s="39" t="s">
        <v>340</v>
      </c>
      <c r="C74" s="41">
        <v>-2.33</v>
      </c>
      <c r="D74" s="21">
        <v>-334.45</v>
      </c>
      <c r="E74" s="21">
        <v>-485.87</v>
      </c>
      <c r="F74" s="21"/>
      <c r="G74" s="21"/>
      <c r="H74" s="21"/>
      <c r="O74" s="26">
        <f t="shared" si="1"/>
        <v>-822.65</v>
      </c>
      <c r="P74" s="30">
        <f t="shared" si="2"/>
        <v>0</v>
      </c>
      <c r="Q74" s="30">
        <f t="shared" si="3"/>
        <v>0</v>
      </c>
      <c r="R74" s="30">
        <f t="shared" si="4"/>
        <v>0</v>
      </c>
      <c r="S74" s="30">
        <f t="shared" si="5"/>
        <v>-822.65</v>
      </c>
      <c r="T74" s="30"/>
      <c r="U74" s="30"/>
      <c r="V74" s="30"/>
      <c r="W74" s="30"/>
    </row>
    <row r="75" ht="14.25" customHeight="1">
      <c r="A75" s="39" t="s">
        <v>343</v>
      </c>
      <c r="B75" s="39" t="s">
        <v>344</v>
      </c>
      <c r="C75" s="41">
        <v>-2.33</v>
      </c>
      <c r="D75" s="21">
        <v>334.45</v>
      </c>
      <c r="E75" s="21">
        <v>-485.87</v>
      </c>
      <c r="F75" s="21"/>
      <c r="G75" s="21"/>
      <c r="H75" s="21"/>
      <c r="O75" s="26">
        <f t="shared" si="1"/>
        <v>-153.75</v>
      </c>
      <c r="P75" s="30">
        <f t="shared" si="2"/>
        <v>0</v>
      </c>
      <c r="Q75" s="30">
        <f t="shared" si="3"/>
        <v>0</v>
      </c>
      <c r="R75" s="30">
        <f t="shared" si="4"/>
        <v>0</v>
      </c>
      <c r="S75" s="30">
        <f t="shared" si="5"/>
        <v>-153.75</v>
      </c>
      <c r="T75" s="30"/>
      <c r="U75" s="30"/>
      <c r="V75" s="30"/>
      <c r="W75" s="30"/>
    </row>
    <row r="76" ht="14.25" customHeight="1">
      <c r="A76" s="44" t="s">
        <v>346</v>
      </c>
      <c r="B76" s="39" t="s">
        <v>347</v>
      </c>
      <c r="C76" s="41">
        <v>2.33</v>
      </c>
      <c r="D76" s="21">
        <v>334.45</v>
      </c>
      <c r="E76" s="21">
        <v>485.87</v>
      </c>
      <c r="F76" s="21"/>
      <c r="G76" s="21">
        <v>46217.05</v>
      </c>
      <c r="H76" s="21"/>
      <c r="O76" s="26">
        <f t="shared" si="1"/>
        <v>822.65</v>
      </c>
      <c r="P76" s="30">
        <f t="shared" si="2"/>
        <v>46217.05</v>
      </c>
      <c r="Q76" s="30">
        <f t="shared" si="3"/>
        <v>0</v>
      </c>
      <c r="R76" s="30">
        <f t="shared" si="4"/>
        <v>0</v>
      </c>
      <c r="S76" s="30">
        <f t="shared" si="5"/>
        <v>47039.7</v>
      </c>
      <c r="T76" s="30"/>
      <c r="U76" s="30"/>
      <c r="V76" s="30"/>
      <c r="W76" s="30"/>
    </row>
    <row r="77" ht="14.25" customHeight="1">
      <c r="A77" s="39" t="s">
        <v>350</v>
      </c>
      <c r="B77" s="39" t="s">
        <v>351</v>
      </c>
      <c r="C77" s="41">
        <v>3145.55</v>
      </c>
      <c r="D77" s="21">
        <v>1792.0</v>
      </c>
      <c r="E77" s="21">
        <v>1921.58</v>
      </c>
      <c r="F77" s="21"/>
      <c r="G77" s="21"/>
      <c r="H77" s="21"/>
      <c r="O77" s="26">
        <f t="shared" si="1"/>
        <v>6859.13</v>
      </c>
      <c r="P77" s="30">
        <f t="shared" si="2"/>
        <v>0</v>
      </c>
      <c r="Q77" s="30">
        <f t="shared" si="3"/>
        <v>0</v>
      </c>
      <c r="R77" s="30">
        <f t="shared" si="4"/>
        <v>0</v>
      </c>
      <c r="S77" s="30">
        <f t="shared" si="5"/>
        <v>6859.13</v>
      </c>
      <c r="T77" s="30"/>
      <c r="U77" s="30"/>
      <c r="V77" s="30"/>
      <c r="W77" s="30"/>
    </row>
    <row r="78" ht="14.25" customHeight="1">
      <c r="A78" s="68" t="s">
        <v>353</v>
      </c>
      <c r="B78" s="68" t="s">
        <v>354</v>
      </c>
      <c r="C78" s="70">
        <v>3145.55</v>
      </c>
      <c r="D78" s="71">
        <v>1792.0</v>
      </c>
      <c r="E78" s="71">
        <v>1921.58</v>
      </c>
      <c r="F78" s="71">
        <v>2859.36</v>
      </c>
      <c r="G78" s="71">
        <v>46217.05</v>
      </c>
      <c r="H78" s="71"/>
      <c r="I78" s="107"/>
      <c r="J78" s="107"/>
      <c r="K78" s="107"/>
      <c r="L78" s="107"/>
      <c r="M78" s="107"/>
      <c r="N78" s="107"/>
      <c r="O78" s="109">
        <f t="shared" si="1"/>
        <v>6859.13</v>
      </c>
      <c r="P78" s="110">
        <f t="shared" si="2"/>
        <v>49076.41</v>
      </c>
      <c r="Q78" s="110">
        <f t="shared" si="3"/>
        <v>0</v>
      </c>
      <c r="R78" s="110">
        <f t="shared" si="4"/>
        <v>0</v>
      </c>
      <c r="S78" s="110">
        <f t="shared" si="5"/>
        <v>55935.54</v>
      </c>
      <c r="T78" s="30"/>
      <c r="U78" s="30"/>
      <c r="V78" s="30"/>
      <c r="W78" s="30"/>
    </row>
    <row r="79" ht="14.25" customHeight="1">
      <c r="A79" s="44" t="s">
        <v>358</v>
      </c>
      <c r="B79" s="39" t="s">
        <v>359</v>
      </c>
      <c r="C79" s="41">
        <v>957.3</v>
      </c>
      <c r="D79" s="21">
        <v>16.25</v>
      </c>
      <c r="E79" s="21">
        <v>486.72</v>
      </c>
      <c r="F79" s="21"/>
      <c r="G79" s="21"/>
      <c r="H79" s="21"/>
      <c r="O79" s="26">
        <f t="shared" si="1"/>
        <v>1460.27</v>
      </c>
      <c r="P79" s="30">
        <f t="shared" si="2"/>
        <v>0</v>
      </c>
      <c r="Q79" s="30">
        <f t="shared" si="3"/>
        <v>0</v>
      </c>
      <c r="R79" s="30">
        <f t="shared" si="4"/>
        <v>0</v>
      </c>
      <c r="S79" s="30">
        <f t="shared" si="5"/>
        <v>1460.27</v>
      </c>
      <c r="T79" s="30"/>
      <c r="U79" s="30"/>
      <c r="V79" s="30"/>
      <c r="W79" s="30"/>
    </row>
    <row r="80" ht="14.25" customHeight="1">
      <c r="A80" s="44" t="s">
        <v>367</v>
      </c>
      <c r="B80" s="39" t="s">
        <v>368</v>
      </c>
      <c r="C80" s="41">
        <v>0.0</v>
      </c>
      <c r="D80" s="21">
        <v>5.14</v>
      </c>
      <c r="E80" s="21">
        <v>2.57</v>
      </c>
      <c r="F80" s="21"/>
      <c r="G80" s="21"/>
      <c r="H80" s="21"/>
      <c r="O80" s="26">
        <f t="shared" si="1"/>
        <v>7.71</v>
      </c>
      <c r="P80" s="30">
        <f t="shared" si="2"/>
        <v>0</v>
      </c>
      <c r="Q80" s="30">
        <f t="shared" si="3"/>
        <v>0</v>
      </c>
      <c r="R80" s="30">
        <f t="shared" si="4"/>
        <v>0</v>
      </c>
      <c r="S80" s="30">
        <f t="shared" si="5"/>
        <v>7.71</v>
      </c>
      <c r="T80" s="30"/>
      <c r="U80" s="30"/>
      <c r="V80" s="30"/>
      <c r="W80" s="30"/>
    </row>
    <row r="81" ht="14.25" customHeight="1">
      <c r="A81" s="44" t="s">
        <v>377</v>
      </c>
      <c r="B81" s="39" t="s">
        <v>378</v>
      </c>
      <c r="C81" s="41">
        <v>0.0</v>
      </c>
      <c r="D81" s="21">
        <v>15.73</v>
      </c>
      <c r="E81" s="21">
        <v>24.23</v>
      </c>
      <c r="F81" s="21"/>
      <c r="G81" s="21"/>
      <c r="H81" s="21"/>
      <c r="O81" s="26">
        <f t="shared" si="1"/>
        <v>39.96</v>
      </c>
      <c r="P81" s="30">
        <f t="shared" si="2"/>
        <v>0</v>
      </c>
      <c r="Q81" s="30">
        <f t="shared" si="3"/>
        <v>0</v>
      </c>
      <c r="R81" s="30">
        <f t="shared" si="4"/>
        <v>0</v>
      </c>
      <c r="S81" s="30">
        <f t="shared" si="5"/>
        <v>39.96</v>
      </c>
      <c r="T81" s="30"/>
      <c r="U81" s="30"/>
      <c r="V81" s="30"/>
      <c r="W81" s="30"/>
    </row>
    <row r="82" ht="14.25" customHeight="1">
      <c r="A82" s="44" t="s">
        <v>381</v>
      </c>
      <c r="B82" s="39" t="s">
        <v>382</v>
      </c>
      <c r="C82" s="41">
        <v>557.74</v>
      </c>
      <c r="D82" s="21">
        <v>171.16</v>
      </c>
      <c r="E82" s="21">
        <v>0.0</v>
      </c>
      <c r="F82" s="21"/>
      <c r="G82" s="21"/>
      <c r="H82" s="21"/>
      <c r="O82" s="26">
        <f t="shared" si="1"/>
        <v>728.9</v>
      </c>
      <c r="P82" s="30">
        <f t="shared" si="2"/>
        <v>0</v>
      </c>
      <c r="Q82" s="30">
        <f t="shared" si="3"/>
        <v>0</v>
      </c>
      <c r="R82" s="30">
        <f t="shared" si="4"/>
        <v>0</v>
      </c>
      <c r="S82" s="30">
        <f t="shared" si="5"/>
        <v>728.9</v>
      </c>
      <c r="T82" s="30"/>
      <c r="U82" s="30"/>
      <c r="V82" s="30"/>
      <c r="W82" s="30"/>
    </row>
    <row r="83" ht="14.25" customHeight="1">
      <c r="A83" s="44" t="s">
        <v>383</v>
      </c>
      <c r="B83" s="39" t="s">
        <v>384</v>
      </c>
      <c r="C83" s="41">
        <v>1630.51</v>
      </c>
      <c r="D83" s="21">
        <v>1583.72</v>
      </c>
      <c r="E83" s="21">
        <v>1408.06</v>
      </c>
      <c r="F83" s="21"/>
      <c r="G83" s="21"/>
      <c r="H83" s="21"/>
      <c r="O83" s="26">
        <f t="shared" si="1"/>
        <v>4622.29</v>
      </c>
      <c r="P83" s="30">
        <f t="shared" si="2"/>
        <v>0</v>
      </c>
      <c r="Q83" s="30">
        <f t="shared" si="3"/>
        <v>0</v>
      </c>
      <c r="R83" s="30">
        <f t="shared" si="4"/>
        <v>0</v>
      </c>
      <c r="S83" s="30">
        <f t="shared" si="5"/>
        <v>4622.29</v>
      </c>
      <c r="T83" s="30"/>
      <c r="U83" s="30"/>
      <c r="V83" s="30"/>
      <c r="W83" s="30"/>
    </row>
    <row r="84" ht="14.25" customHeight="1">
      <c r="A84" s="63" t="s">
        <v>386</v>
      </c>
      <c r="B84" s="63" t="s">
        <v>387</v>
      </c>
      <c r="C84" s="65">
        <v>168787.07</v>
      </c>
      <c r="D84" s="67">
        <v>108336.24</v>
      </c>
      <c r="E84" s="67">
        <v>41158.0</v>
      </c>
      <c r="F84" s="75">
        <v>488936.51</v>
      </c>
      <c r="G84" s="75">
        <v>414634.47</v>
      </c>
      <c r="H84" s="21">
        <v>424117.83</v>
      </c>
      <c r="I84" s="54"/>
      <c r="J84" s="54"/>
      <c r="O84" s="26">
        <f t="shared" si="1"/>
        <v>318281.31</v>
      </c>
      <c r="P84" s="30">
        <f t="shared" si="2"/>
        <v>1327688.81</v>
      </c>
      <c r="Q84" s="30">
        <f t="shared" si="3"/>
        <v>0</v>
      </c>
      <c r="R84" s="30">
        <f t="shared" si="4"/>
        <v>0</v>
      </c>
      <c r="S84" s="30">
        <f t="shared" si="5"/>
        <v>1645970.12</v>
      </c>
      <c r="T84" s="30"/>
      <c r="U84" s="30"/>
      <c r="V84" s="30"/>
      <c r="W84" s="30"/>
    </row>
    <row r="85" ht="14.25" customHeight="1">
      <c r="A85" s="63" t="s">
        <v>392</v>
      </c>
      <c r="B85" s="63" t="s">
        <v>393</v>
      </c>
      <c r="C85" s="65">
        <v>168787.07</v>
      </c>
      <c r="D85" s="67">
        <v>108336.24</v>
      </c>
      <c r="E85" s="67">
        <v>41158.0</v>
      </c>
      <c r="F85" s="75">
        <v>488936.51</v>
      </c>
      <c r="G85" s="75">
        <v>414634.47</v>
      </c>
      <c r="H85" s="21">
        <v>227786.19</v>
      </c>
      <c r="O85" s="26">
        <f t="shared" si="1"/>
        <v>318281.31</v>
      </c>
      <c r="P85" s="30">
        <f t="shared" si="2"/>
        <v>1131357.17</v>
      </c>
      <c r="Q85" s="30">
        <f t="shared" si="3"/>
        <v>0</v>
      </c>
      <c r="R85" s="30">
        <f t="shared" si="4"/>
        <v>0</v>
      </c>
      <c r="S85" s="30">
        <f t="shared" si="5"/>
        <v>1449638.48</v>
      </c>
      <c r="T85" s="30">
        <f t="shared" ref="T85:Y85" si="8">C31-C32</f>
        <v>168787.07</v>
      </c>
      <c r="U85" s="30">
        <f t="shared" si="8"/>
        <v>108336.24</v>
      </c>
      <c r="V85" s="30">
        <f t="shared" si="8"/>
        <v>41158</v>
      </c>
      <c r="W85" s="30">
        <f t="shared" si="8"/>
        <v>503608.49</v>
      </c>
      <c r="X85" s="30">
        <f t="shared" si="8"/>
        <v>414634.47</v>
      </c>
      <c r="Y85" s="30">
        <f t="shared" si="8"/>
        <v>424117.83</v>
      </c>
    </row>
    <row r="86" ht="14.25" customHeight="1">
      <c r="A86" s="128" t="s">
        <v>399</v>
      </c>
      <c r="B86" s="128" t="s">
        <v>400</v>
      </c>
      <c r="C86" s="129">
        <v>168787.07</v>
      </c>
      <c r="D86" s="130">
        <v>108336.24</v>
      </c>
      <c r="E86" s="130">
        <v>41158.0</v>
      </c>
      <c r="F86" s="133">
        <f t="shared" ref="F86:G86" si="9">F85-F68-F67</f>
        <v>300510.28</v>
      </c>
      <c r="G86" s="133">
        <f t="shared" si="9"/>
        <v>236905.55</v>
      </c>
      <c r="H86" s="21">
        <f>H85</f>
        <v>227786.19</v>
      </c>
      <c r="O86" s="26">
        <f t="shared" si="1"/>
        <v>318281.31</v>
      </c>
      <c r="P86" s="30">
        <f t="shared" si="2"/>
        <v>765202.02</v>
      </c>
      <c r="Q86" s="30">
        <f t="shared" si="3"/>
        <v>0</v>
      </c>
      <c r="R86" s="30">
        <f t="shared" si="4"/>
        <v>0</v>
      </c>
      <c r="S86" s="30">
        <f t="shared" si="5"/>
        <v>1083483.33</v>
      </c>
      <c r="T86" s="30">
        <f t="shared" ref="T86:Y86" si="10">T85-SUM(C67:C68)-C73</f>
        <v>11579.91</v>
      </c>
      <c r="U86" s="30">
        <f t="shared" si="10"/>
        <v>-65634.89</v>
      </c>
      <c r="V86" s="30">
        <f t="shared" si="10"/>
        <v>-108548.85</v>
      </c>
      <c r="W86" s="30">
        <f t="shared" si="10"/>
        <v>313431.7</v>
      </c>
      <c r="X86" s="30">
        <f t="shared" si="10"/>
        <v>193952.8</v>
      </c>
      <c r="Y86" s="30">
        <f t="shared" si="10"/>
        <v>226986.93</v>
      </c>
    </row>
    <row r="87" ht="14.25" customHeight="1">
      <c r="B87" s="143" t="s">
        <v>411</v>
      </c>
      <c r="C87" s="73">
        <f t="shared" ref="C87:S87" si="11">IFERROR(C86/C16,0)</f>
        <v>0.1223677562</v>
      </c>
      <c r="D87" s="73">
        <f t="shared" si="11"/>
        <v>0.07304419061</v>
      </c>
      <c r="E87" s="73">
        <f t="shared" si="11"/>
        <v>0.03227670808</v>
      </c>
      <c r="F87" s="73">
        <f t="shared" si="11"/>
        <v>0.1801160105</v>
      </c>
      <c r="G87" s="73">
        <f t="shared" si="11"/>
        <v>0.1546544564</v>
      </c>
      <c r="H87" s="73">
        <f t="shared" si="11"/>
        <v>0.1365325169</v>
      </c>
      <c r="I87" s="73">
        <f t="shared" si="11"/>
        <v>0</v>
      </c>
      <c r="J87" s="73">
        <f t="shared" si="11"/>
        <v>0</v>
      </c>
      <c r="K87" s="73">
        <f t="shared" si="11"/>
        <v>0</v>
      </c>
      <c r="L87" s="73">
        <f t="shared" si="11"/>
        <v>0</v>
      </c>
      <c r="M87" s="73">
        <f t="shared" si="11"/>
        <v>0</v>
      </c>
      <c r="N87" s="73">
        <f t="shared" si="11"/>
        <v>0</v>
      </c>
      <c r="O87" s="73">
        <f t="shared" si="11"/>
        <v>0.07692294809</v>
      </c>
      <c r="P87" s="30">
        <f t="shared" si="11"/>
        <v>0.1571698869</v>
      </c>
      <c r="Q87" s="30">
        <f t="shared" si="11"/>
        <v>0</v>
      </c>
      <c r="R87" s="30">
        <f t="shared" si="11"/>
        <v>0</v>
      </c>
      <c r="S87" s="73">
        <f t="shared" si="11"/>
        <v>0.1203029059</v>
      </c>
      <c r="T87" s="30"/>
      <c r="U87" s="30"/>
      <c r="V87" s="30"/>
      <c r="W87" s="30"/>
    </row>
    <row r="88" ht="14.25" customHeight="1">
      <c r="B88" s="143" t="s">
        <v>151</v>
      </c>
      <c r="C88" s="26">
        <f t="shared" ref="C88:S88" si="12">C86+C73+C67+C68</f>
        <v>325994.23</v>
      </c>
      <c r="D88" s="26">
        <f t="shared" si="12"/>
        <v>282307.37</v>
      </c>
      <c r="E88" s="26">
        <f t="shared" si="12"/>
        <v>190864.85</v>
      </c>
      <c r="F88" s="26">
        <f t="shared" si="12"/>
        <v>490687.07</v>
      </c>
      <c r="G88" s="26">
        <f t="shared" si="12"/>
        <v>457587.22</v>
      </c>
      <c r="H88" s="26">
        <f t="shared" si="12"/>
        <v>424917.09</v>
      </c>
      <c r="I88" s="26">
        <f t="shared" si="12"/>
        <v>0</v>
      </c>
      <c r="J88" s="26">
        <f t="shared" si="12"/>
        <v>0</v>
      </c>
      <c r="K88" s="26">
        <f t="shared" si="12"/>
        <v>0</v>
      </c>
      <c r="L88" s="26">
        <f t="shared" si="12"/>
        <v>0</v>
      </c>
      <c r="M88" s="26">
        <f t="shared" si="12"/>
        <v>0</v>
      </c>
      <c r="N88" s="26">
        <f t="shared" si="12"/>
        <v>0</v>
      </c>
      <c r="O88" s="26">
        <f t="shared" si="12"/>
        <v>799166.45</v>
      </c>
      <c r="P88" s="30">
        <f t="shared" si="12"/>
        <v>1373191.38</v>
      </c>
      <c r="Q88" s="30">
        <f t="shared" si="12"/>
        <v>0</v>
      </c>
      <c r="R88" s="30">
        <f t="shared" si="12"/>
        <v>0</v>
      </c>
      <c r="S88" s="30">
        <f t="shared" si="12"/>
        <v>2172357.83</v>
      </c>
      <c r="T88" s="30"/>
      <c r="U88" s="30"/>
      <c r="V88" s="30"/>
      <c r="W88" s="30"/>
    </row>
    <row r="89" ht="14.25" customHeight="1">
      <c r="B89" s="143" t="s">
        <v>437</v>
      </c>
      <c r="C89" s="73">
        <f t="shared" ref="C89:S89" si="13">IFERROR(C88/C16,0)</f>
        <v>0.2363402745</v>
      </c>
      <c r="D89" s="73">
        <f t="shared" si="13"/>
        <v>0.1903417854</v>
      </c>
      <c r="E89" s="73">
        <f t="shared" si="13"/>
        <v>0.1496790186</v>
      </c>
      <c r="F89" s="73">
        <f t="shared" si="13"/>
        <v>0.2941017441</v>
      </c>
      <c r="G89" s="73">
        <f t="shared" si="13"/>
        <v>0.2987177918</v>
      </c>
      <c r="H89" s="73">
        <f t="shared" si="13"/>
        <v>0.2546905929</v>
      </c>
      <c r="I89" s="73">
        <f t="shared" si="13"/>
        <v>0</v>
      </c>
      <c r="J89" s="73">
        <f t="shared" si="13"/>
        <v>0</v>
      </c>
      <c r="K89" s="73">
        <f t="shared" si="13"/>
        <v>0</v>
      </c>
      <c r="L89" s="73">
        <f t="shared" si="13"/>
        <v>0</v>
      </c>
      <c r="M89" s="73">
        <f t="shared" si="13"/>
        <v>0</v>
      </c>
      <c r="N89" s="73">
        <f t="shared" si="13"/>
        <v>0</v>
      </c>
      <c r="O89" s="73">
        <f t="shared" si="13"/>
        <v>0.1931443582</v>
      </c>
      <c r="P89" s="30">
        <f t="shared" si="13"/>
        <v>0.2820488292</v>
      </c>
      <c r="Q89" s="30">
        <f t="shared" si="13"/>
        <v>0</v>
      </c>
      <c r="R89" s="30">
        <f t="shared" si="13"/>
        <v>0</v>
      </c>
      <c r="S89" s="73">
        <f t="shared" si="13"/>
        <v>0.2412044121</v>
      </c>
      <c r="T89" s="30"/>
      <c r="U89" s="30"/>
      <c r="V89" s="30"/>
      <c r="W89" s="30"/>
    </row>
    <row r="90" ht="14.25" customHeight="1">
      <c r="B90" s="143" t="s">
        <v>122</v>
      </c>
      <c r="C90" s="73">
        <f t="shared" ref="C90:S90" si="14">IFERROR(C32/C16,0)</f>
        <v>0.3912437815</v>
      </c>
      <c r="D90" s="73">
        <f t="shared" si="14"/>
        <v>0.5557002893</v>
      </c>
      <c r="E90" s="73">
        <f t="shared" si="14"/>
        <v>0.4503378483</v>
      </c>
      <c r="F90" s="73">
        <f t="shared" si="14"/>
        <v>0.300812733</v>
      </c>
      <c r="G90" s="73">
        <f t="shared" si="14"/>
        <v>0.3557757239</v>
      </c>
      <c r="H90" s="73">
        <f t="shared" si="14"/>
        <v>0.3813519296</v>
      </c>
      <c r="I90" s="73">
        <f t="shared" si="14"/>
        <v>0</v>
      </c>
      <c r="J90" s="73">
        <f t="shared" si="14"/>
        <v>0</v>
      </c>
      <c r="K90" s="73">
        <f t="shared" si="14"/>
        <v>0</v>
      </c>
      <c r="L90" s="73">
        <f t="shared" si="14"/>
        <v>0</v>
      </c>
      <c r="M90" s="73">
        <f t="shared" si="14"/>
        <v>0</v>
      </c>
      <c r="N90" s="73">
        <f t="shared" si="14"/>
        <v>0</v>
      </c>
      <c r="O90" s="73">
        <f t="shared" si="14"/>
        <v>0.4684056315</v>
      </c>
      <c r="P90" s="30">
        <f t="shared" si="14"/>
        <v>0.3457048767</v>
      </c>
      <c r="Q90" s="30">
        <f t="shared" si="14"/>
        <v>0</v>
      </c>
      <c r="R90" s="30">
        <f t="shared" si="14"/>
        <v>0</v>
      </c>
      <c r="S90" s="73">
        <f t="shared" si="14"/>
        <v>0.402075954</v>
      </c>
      <c r="T90" s="30"/>
      <c r="U90" s="30"/>
      <c r="V90" s="30"/>
      <c r="W90" s="30"/>
    </row>
    <row r="91" ht="14.25" customHeight="1">
      <c r="B91" s="143" t="s">
        <v>455</v>
      </c>
      <c r="C91" s="73">
        <f t="shared" ref="C91:S91" si="15">C31/C16</f>
        <v>0.5136115377</v>
      </c>
      <c r="D91" s="73">
        <f t="shared" si="15"/>
        <v>0.6287444799</v>
      </c>
      <c r="E91" s="73">
        <f t="shared" si="15"/>
        <v>0.4826145564</v>
      </c>
      <c r="F91" s="73">
        <f t="shared" si="15"/>
        <v>0.6026591526</v>
      </c>
      <c r="G91" s="73">
        <f t="shared" si="15"/>
        <v>0.6264535049</v>
      </c>
      <c r="H91" s="73">
        <f t="shared" si="15"/>
        <v>0.6355634549</v>
      </c>
      <c r="I91" s="73" t="str">
        <f t="shared" si="15"/>
        <v>#DIV/0!</v>
      </c>
      <c r="J91" s="73" t="str">
        <f t="shared" si="15"/>
        <v>#DIV/0!</v>
      </c>
      <c r="K91" s="73" t="str">
        <f t="shared" si="15"/>
        <v>#DIV/0!</v>
      </c>
      <c r="L91" s="73" t="str">
        <f t="shared" si="15"/>
        <v>#DIV/0!</v>
      </c>
      <c r="M91" s="73" t="str">
        <f t="shared" si="15"/>
        <v>#DIV/0!</v>
      </c>
      <c r="N91" s="73" t="str">
        <f t="shared" si="15"/>
        <v>#DIV/0!</v>
      </c>
      <c r="O91" s="73">
        <f t="shared" si="15"/>
        <v>0.5453285796</v>
      </c>
      <c r="P91" s="73">
        <f t="shared" si="15"/>
        <v>0.6214212078</v>
      </c>
      <c r="Q91" s="73" t="str">
        <f t="shared" si="15"/>
        <v>#DIV/0!</v>
      </c>
      <c r="R91" s="73" t="str">
        <f t="shared" si="15"/>
        <v>#DIV/0!</v>
      </c>
      <c r="S91" s="73">
        <f t="shared" si="15"/>
        <v>0.5864627967</v>
      </c>
      <c r="T91" s="30"/>
      <c r="U91" s="30"/>
      <c r="V91" s="30"/>
      <c r="W91" s="30"/>
    </row>
    <row r="92" ht="14.25" customHeight="1">
      <c r="F92" s="75"/>
      <c r="U92" s="30"/>
      <c r="V92" s="30"/>
      <c r="W92" s="30"/>
    </row>
    <row r="93" ht="14.25" customHeight="1">
      <c r="F93" s="35"/>
      <c r="G93" s="162"/>
      <c r="U93" s="30"/>
      <c r="V93" s="30"/>
      <c r="W93" s="30"/>
    </row>
    <row r="94" ht="14.25" customHeight="1">
      <c r="U94" s="30"/>
      <c r="V94" s="30"/>
      <c r="W94" s="30"/>
    </row>
    <row r="95" ht="14.25" customHeight="1">
      <c r="U95" s="30"/>
      <c r="V95" s="30"/>
      <c r="W95" s="30"/>
    </row>
    <row r="96" ht="14.25" customHeight="1">
      <c r="D96" s="75"/>
      <c r="F96" s="35"/>
      <c r="J96" s="163"/>
      <c r="U96" s="30"/>
      <c r="V96" s="30"/>
      <c r="W96" s="30"/>
    </row>
    <row r="97" ht="14.25" customHeight="1">
      <c r="D97" s="75"/>
      <c r="F97" s="35"/>
      <c r="U97" s="30"/>
      <c r="V97" s="30"/>
      <c r="W97" s="30"/>
    </row>
    <row r="98" ht="14.25" customHeight="1">
      <c r="D98" s="75"/>
      <c r="F98" s="35"/>
      <c r="U98" s="30"/>
      <c r="V98" s="30"/>
      <c r="W98" s="30"/>
    </row>
    <row r="99" ht="14.25" customHeight="1">
      <c r="D99" s="75"/>
      <c r="F99" s="35"/>
      <c r="G99" s="72"/>
      <c r="U99" s="30"/>
      <c r="V99" s="30"/>
      <c r="W99" s="30"/>
    </row>
    <row r="100" ht="14.25" customHeight="1">
      <c r="D100" s="75"/>
      <c r="F100" s="35"/>
      <c r="G100" s="75"/>
      <c r="U100" s="30"/>
      <c r="V100" s="30"/>
      <c r="W100" s="30"/>
    </row>
    <row r="101" ht="14.25" customHeight="1">
      <c r="U101" s="30"/>
      <c r="V101" s="30"/>
      <c r="W101" s="30"/>
    </row>
    <row r="102" ht="14.25" customHeight="1">
      <c r="D102" s="75"/>
      <c r="U102" s="30"/>
      <c r="V102" s="30"/>
      <c r="W102" s="30"/>
    </row>
    <row r="103" ht="14.25" customHeight="1">
      <c r="D103" s="35"/>
      <c r="U103" s="30"/>
      <c r="V103" s="30"/>
      <c r="W103" s="30"/>
    </row>
    <row r="104" ht="14.25" customHeight="1">
      <c r="U104" s="30"/>
      <c r="V104" s="30"/>
      <c r="W104" s="30"/>
    </row>
    <row r="105" ht="14.25" customHeight="1">
      <c r="U105" s="30"/>
      <c r="V105" s="30"/>
      <c r="W105" s="30"/>
    </row>
    <row r="106" ht="14.25" customHeight="1">
      <c r="U106" s="30"/>
      <c r="V106" s="30"/>
      <c r="W106" s="30"/>
    </row>
    <row r="107" ht="14.25" customHeight="1">
      <c r="U107" s="30"/>
      <c r="V107" s="30"/>
      <c r="W107" s="30"/>
    </row>
    <row r="108" ht="14.25" customHeight="1">
      <c r="U108" s="30"/>
      <c r="V108" s="30"/>
      <c r="W108" s="30"/>
    </row>
    <row r="109" ht="14.25" customHeight="1">
      <c r="U109" s="30"/>
      <c r="V109" s="30"/>
      <c r="W109" s="30"/>
    </row>
    <row r="110" ht="14.25" customHeight="1">
      <c r="U110" s="30"/>
      <c r="V110" s="30"/>
      <c r="W110" s="30"/>
    </row>
    <row r="111" ht="14.25" customHeight="1">
      <c r="U111" s="30"/>
      <c r="V111" s="30"/>
      <c r="W111" s="30"/>
    </row>
    <row r="112" ht="14.25" customHeight="1">
      <c r="U112" s="30"/>
      <c r="V112" s="30"/>
      <c r="W112" s="30"/>
    </row>
    <row r="113" ht="14.25" customHeight="1">
      <c r="U113" s="30"/>
      <c r="V113" s="30"/>
      <c r="W113" s="30"/>
    </row>
    <row r="114" ht="14.25" customHeight="1">
      <c r="U114" s="30"/>
      <c r="V114" s="30"/>
      <c r="W114" s="30"/>
    </row>
    <row r="115" ht="14.25" customHeight="1">
      <c r="U115" s="30"/>
      <c r="V115" s="30"/>
      <c r="W115" s="30"/>
    </row>
    <row r="116" ht="14.25" customHeight="1">
      <c r="U116" s="30"/>
      <c r="V116" s="30"/>
      <c r="W116" s="30"/>
    </row>
    <row r="117" ht="14.25" customHeight="1">
      <c r="U117" s="30"/>
      <c r="V117" s="30"/>
      <c r="W117" s="30"/>
    </row>
    <row r="118" ht="14.25" customHeight="1">
      <c r="U118" s="30"/>
      <c r="V118" s="30"/>
      <c r="W118" s="30"/>
    </row>
    <row r="119" ht="14.25" customHeight="1">
      <c r="U119" s="30"/>
      <c r="V119" s="30"/>
      <c r="W119" s="30"/>
    </row>
    <row r="120" ht="14.25" customHeight="1">
      <c r="U120" s="30"/>
      <c r="V120" s="30"/>
      <c r="W120" s="30"/>
    </row>
    <row r="121" ht="14.25" customHeight="1">
      <c r="U121" s="30"/>
      <c r="V121" s="30"/>
      <c r="W121" s="30"/>
    </row>
    <row r="122" ht="14.25" customHeight="1">
      <c r="U122" s="30"/>
      <c r="V122" s="30"/>
      <c r="W122" s="30"/>
    </row>
    <row r="123" ht="14.25" customHeight="1">
      <c r="U123" s="30"/>
      <c r="V123" s="30"/>
      <c r="W123" s="30"/>
    </row>
    <row r="124" ht="14.25" customHeight="1">
      <c r="U124" s="30"/>
      <c r="V124" s="30"/>
      <c r="W124" s="30"/>
    </row>
    <row r="125" ht="14.25" customHeight="1">
      <c r="U125" s="30"/>
      <c r="V125" s="30"/>
      <c r="W125" s="30"/>
    </row>
    <row r="126" ht="14.25" customHeight="1">
      <c r="U126" s="30"/>
      <c r="V126" s="30"/>
      <c r="W126" s="30"/>
    </row>
    <row r="127" ht="14.25" customHeight="1">
      <c r="U127" s="30"/>
      <c r="V127" s="30"/>
      <c r="W127" s="30"/>
    </row>
    <row r="128" ht="14.25" customHeight="1">
      <c r="U128" s="30"/>
      <c r="V128" s="30"/>
      <c r="W128" s="30"/>
    </row>
    <row r="129" ht="14.25" customHeight="1">
      <c r="U129" s="30"/>
      <c r="V129" s="30"/>
      <c r="W129" s="30"/>
    </row>
    <row r="130" ht="14.25" customHeight="1">
      <c r="U130" s="30"/>
      <c r="V130" s="30"/>
      <c r="W130" s="30"/>
    </row>
    <row r="131" ht="14.25" customHeight="1">
      <c r="U131" s="30"/>
      <c r="V131" s="30"/>
      <c r="W131" s="30"/>
    </row>
    <row r="132" ht="14.25" customHeight="1">
      <c r="U132" s="30"/>
      <c r="V132" s="30"/>
      <c r="W132" s="30"/>
    </row>
    <row r="133" ht="14.25" customHeight="1">
      <c r="U133" s="30"/>
      <c r="V133" s="30"/>
      <c r="W133" s="30"/>
    </row>
    <row r="134" ht="14.25" customHeight="1">
      <c r="U134" s="30"/>
      <c r="V134" s="30"/>
      <c r="W134" s="30"/>
    </row>
    <row r="135" ht="14.25" customHeight="1">
      <c r="U135" s="30"/>
      <c r="V135" s="30"/>
      <c r="W135" s="30"/>
    </row>
    <row r="136" ht="14.25" customHeight="1">
      <c r="U136" s="30"/>
      <c r="V136" s="30"/>
      <c r="W136" s="30"/>
    </row>
    <row r="137" ht="14.25" customHeight="1">
      <c r="U137" s="30"/>
      <c r="V137" s="30"/>
      <c r="W137" s="30"/>
    </row>
    <row r="138" ht="14.25" customHeight="1">
      <c r="U138" s="30"/>
      <c r="V138" s="30"/>
      <c r="W138" s="30"/>
    </row>
    <row r="139" ht="14.25" customHeight="1">
      <c r="U139" s="30"/>
      <c r="V139" s="30"/>
      <c r="W139" s="30"/>
    </row>
    <row r="140" ht="14.25" customHeight="1">
      <c r="U140" s="30"/>
      <c r="V140" s="30"/>
      <c r="W140" s="30"/>
    </row>
    <row r="141" ht="14.25" customHeight="1">
      <c r="U141" s="30"/>
      <c r="V141" s="30"/>
      <c r="W141" s="30"/>
    </row>
    <row r="142" ht="14.25" customHeight="1">
      <c r="U142" s="30"/>
      <c r="V142" s="30"/>
      <c r="W142" s="30"/>
    </row>
    <row r="143" ht="14.25" customHeight="1">
      <c r="U143" s="30"/>
      <c r="V143" s="30"/>
      <c r="W143" s="30"/>
    </row>
    <row r="144" ht="14.25" customHeight="1">
      <c r="U144" s="30"/>
      <c r="V144" s="30"/>
      <c r="W144" s="30"/>
    </row>
    <row r="145" ht="14.25" customHeight="1">
      <c r="U145" s="30"/>
      <c r="V145" s="30"/>
      <c r="W145" s="30"/>
    </row>
    <row r="146" ht="14.25" customHeight="1">
      <c r="U146" s="30"/>
      <c r="V146" s="30"/>
      <c r="W146" s="30"/>
    </row>
    <row r="147" ht="14.25" customHeight="1">
      <c r="U147" s="30"/>
      <c r="V147" s="30"/>
      <c r="W147" s="30"/>
    </row>
    <row r="148" ht="14.25" customHeight="1">
      <c r="U148" s="30"/>
      <c r="V148" s="30"/>
      <c r="W148" s="30"/>
    </row>
    <row r="149" ht="14.25" customHeight="1">
      <c r="U149" s="30"/>
      <c r="V149" s="30"/>
      <c r="W149" s="30"/>
    </row>
    <row r="150" ht="14.25" customHeight="1">
      <c r="U150" s="30"/>
      <c r="V150" s="30"/>
      <c r="W150" s="30"/>
    </row>
    <row r="151" ht="14.25" customHeight="1">
      <c r="U151" s="30"/>
      <c r="V151" s="30"/>
      <c r="W151" s="30"/>
    </row>
    <row r="152" ht="14.25" customHeight="1">
      <c r="U152" s="30"/>
      <c r="V152" s="30"/>
      <c r="W152" s="30"/>
    </row>
    <row r="153" ht="14.25" customHeight="1">
      <c r="U153" s="30"/>
      <c r="V153" s="30"/>
      <c r="W153" s="30"/>
    </row>
    <row r="154" ht="14.25" customHeight="1">
      <c r="U154" s="30"/>
      <c r="V154" s="30"/>
      <c r="W154" s="30"/>
    </row>
    <row r="155" ht="14.25" customHeight="1">
      <c r="U155" s="30"/>
      <c r="V155" s="30"/>
      <c r="W155" s="30"/>
    </row>
    <row r="156" ht="14.25" customHeight="1">
      <c r="U156" s="30"/>
      <c r="V156" s="30"/>
      <c r="W156" s="30"/>
    </row>
    <row r="157" ht="14.25" customHeight="1">
      <c r="U157" s="30"/>
      <c r="V157" s="30"/>
      <c r="W157" s="30"/>
    </row>
    <row r="158" ht="14.25" customHeight="1">
      <c r="U158" s="30"/>
      <c r="V158" s="30"/>
      <c r="W158" s="30"/>
    </row>
    <row r="159" ht="14.25" customHeight="1">
      <c r="U159" s="30"/>
      <c r="V159" s="30"/>
      <c r="W159" s="30"/>
    </row>
    <row r="160" ht="14.25" customHeight="1">
      <c r="U160" s="30"/>
      <c r="V160" s="30"/>
      <c r="W160" s="30"/>
    </row>
    <row r="161" ht="14.25" customHeight="1">
      <c r="U161" s="30"/>
      <c r="V161" s="30"/>
      <c r="W161" s="30"/>
    </row>
    <row r="162" ht="14.25" customHeight="1">
      <c r="U162" s="30"/>
      <c r="V162" s="30"/>
      <c r="W162" s="30"/>
    </row>
    <row r="163" ht="14.25" customHeight="1">
      <c r="U163" s="30"/>
      <c r="V163" s="30"/>
      <c r="W163" s="30"/>
    </row>
    <row r="164" ht="14.25" customHeight="1">
      <c r="U164" s="30"/>
      <c r="V164" s="30"/>
      <c r="W164" s="30"/>
    </row>
    <row r="165" ht="14.25" customHeight="1">
      <c r="U165" s="30"/>
      <c r="V165" s="30"/>
      <c r="W165" s="30"/>
    </row>
    <row r="166" ht="14.25" customHeight="1">
      <c r="U166" s="30"/>
      <c r="V166" s="30"/>
      <c r="W166" s="30"/>
    </row>
    <row r="167" ht="14.25" customHeight="1">
      <c r="U167" s="30"/>
      <c r="V167" s="30"/>
      <c r="W167" s="30"/>
    </row>
    <row r="168" ht="14.25" customHeight="1">
      <c r="U168" s="30"/>
      <c r="V168" s="30"/>
      <c r="W168" s="30"/>
    </row>
    <row r="169" ht="14.25" customHeight="1">
      <c r="U169" s="30"/>
      <c r="V169" s="30"/>
      <c r="W169" s="30"/>
    </row>
    <row r="170" ht="14.25" customHeight="1">
      <c r="U170" s="30"/>
      <c r="V170" s="30"/>
      <c r="W170" s="30"/>
    </row>
    <row r="171" ht="14.25" customHeight="1">
      <c r="U171" s="30"/>
      <c r="V171" s="30"/>
      <c r="W171" s="30"/>
    </row>
    <row r="172" ht="14.25" customHeight="1">
      <c r="U172" s="30"/>
      <c r="V172" s="30"/>
      <c r="W172" s="30"/>
    </row>
    <row r="173" ht="14.25" customHeight="1">
      <c r="U173" s="30"/>
      <c r="V173" s="30"/>
      <c r="W173" s="30"/>
    </row>
    <row r="174" ht="14.25" customHeight="1">
      <c r="U174" s="30"/>
      <c r="V174" s="30"/>
      <c r="W174" s="30"/>
    </row>
    <row r="175" ht="14.25" customHeight="1">
      <c r="U175" s="30"/>
      <c r="V175" s="30"/>
      <c r="W175" s="30"/>
    </row>
    <row r="176" ht="14.25" customHeight="1">
      <c r="U176" s="30"/>
      <c r="V176" s="30"/>
      <c r="W176" s="30"/>
    </row>
    <row r="177" ht="14.25" customHeight="1">
      <c r="U177" s="30"/>
      <c r="V177" s="30"/>
      <c r="W177" s="30"/>
    </row>
    <row r="178" ht="14.25" customHeight="1">
      <c r="U178" s="30"/>
      <c r="V178" s="30"/>
      <c r="W178" s="30"/>
    </row>
    <row r="179" ht="14.25" customHeight="1">
      <c r="U179" s="30"/>
      <c r="V179" s="30"/>
      <c r="W179" s="30"/>
    </row>
    <row r="180" ht="14.25" customHeight="1">
      <c r="U180" s="30"/>
      <c r="V180" s="30"/>
      <c r="W180" s="30"/>
    </row>
    <row r="181" ht="14.25" customHeight="1">
      <c r="U181" s="30"/>
      <c r="V181" s="30"/>
      <c r="W181" s="30"/>
    </row>
    <row r="182" ht="14.25" customHeight="1">
      <c r="U182" s="30"/>
      <c r="V182" s="30"/>
      <c r="W182" s="30"/>
    </row>
    <row r="183" ht="14.25" customHeight="1">
      <c r="U183" s="30"/>
      <c r="V183" s="30"/>
      <c r="W183" s="30"/>
    </row>
    <row r="184" ht="14.25" customHeight="1">
      <c r="U184" s="30"/>
      <c r="V184" s="30"/>
      <c r="W184" s="30"/>
    </row>
    <row r="185" ht="14.25" customHeight="1">
      <c r="U185" s="30"/>
      <c r="V185" s="30"/>
      <c r="W185" s="30"/>
    </row>
    <row r="186" ht="14.25" customHeight="1">
      <c r="U186" s="30"/>
      <c r="V186" s="30"/>
      <c r="W186" s="30"/>
    </row>
    <row r="187" ht="14.25" customHeight="1">
      <c r="U187" s="30"/>
      <c r="V187" s="30"/>
      <c r="W187" s="30"/>
    </row>
    <row r="188" ht="14.25" customHeight="1">
      <c r="U188" s="30"/>
      <c r="V188" s="30"/>
      <c r="W188" s="30"/>
    </row>
    <row r="189" ht="14.25" customHeight="1">
      <c r="U189" s="30"/>
      <c r="V189" s="30"/>
      <c r="W189" s="30"/>
    </row>
    <row r="190" ht="14.25" customHeight="1">
      <c r="U190" s="30"/>
      <c r="V190" s="30"/>
      <c r="W190" s="30"/>
    </row>
    <row r="191" ht="14.25" customHeight="1">
      <c r="U191" s="30"/>
      <c r="V191" s="30"/>
      <c r="W191" s="30"/>
    </row>
    <row r="192" ht="14.25" customHeight="1">
      <c r="U192" s="30"/>
      <c r="V192" s="30"/>
      <c r="W192" s="30"/>
    </row>
    <row r="193" ht="14.25" customHeight="1">
      <c r="U193" s="30"/>
      <c r="V193" s="30"/>
      <c r="W193" s="30"/>
    </row>
    <row r="194" ht="14.25" customHeight="1">
      <c r="U194" s="30"/>
      <c r="V194" s="30"/>
      <c r="W194" s="30"/>
    </row>
    <row r="195" ht="14.25" customHeight="1">
      <c r="U195" s="30"/>
      <c r="V195" s="30"/>
      <c r="W195" s="30"/>
    </row>
    <row r="196" ht="14.25" customHeight="1">
      <c r="U196" s="30"/>
      <c r="V196" s="30"/>
      <c r="W196" s="30"/>
    </row>
    <row r="197" ht="14.25" customHeight="1">
      <c r="U197" s="30"/>
      <c r="V197" s="30"/>
      <c r="W197" s="30"/>
    </row>
    <row r="198" ht="14.25" customHeight="1">
      <c r="U198" s="30"/>
      <c r="V198" s="30"/>
      <c r="W198" s="30"/>
    </row>
    <row r="199" ht="14.25" customHeight="1">
      <c r="U199" s="30"/>
      <c r="V199" s="30"/>
      <c r="W199" s="30"/>
    </row>
    <row r="200" ht="14.25" customHeight="1">
      <c r="U200" s="30"/>
      <c r="V200" s="30"/>
      <c r="W200" s="30"/>
    </row>
    <row r="201" ht="14.25" customHeight="1">
      <c r="U201" s="30"/>
      <c r="V201" s="30"/>
      <c r="W201" s="30"/>
    </row>
    <row r="202" ht="14.25" customHeight="1">
      <c r="U202" s="30"/>
      <c r="V202" s="30"/>
      <c r="W202" s="30"/>
    </row>
    <row r="203" ht="14.25" customHeight="1">
      <c r="U203" s="30"/>
      <c r="V203" s="30"/>
      <c r="W203" s="30"/>
    </row>
    <row r="204" ht="14.25" customHeight="1">
      <c r="U204" s="30"/>
      <c r="V204" s="30"/>
      <c r="W204" s="30"/>
    </row>
    <row r="205" ht="14.25" customHeight="1">
      <c r="U205" s="30"/>
      <c r="V205" s="30"/>
      <c r="W205" s="30"/>
    </row>
    <row r="206" ht="14.25" customHeight="1">
      <c r="U206" s="30"/>
      <c r="V206" s="30"/>
      <c r="W206" s="30"/>
    </row>
    <row r="207" ht="14.25" customHeight="1">
      <c r="U207" s="30"/>
      <c r="V207" s="30"/>
      <c r="W207" s="30"/>
    </row>
    <row r="208" ht="14.25" customHeight="1">
      <c r="U208" s="30"/>
      <c r="V208" s="30"/>
      <c r="W208" s="30"/>
    </row>
    <row r="209" ht="14.25" customHeight="1">
      <c r="U209" s="30"/>
      <c r="V209" s="30"/>
      <c r="W209" s="30"/>
    </row>
    <row r="210" ht="14.25" customHeight="1">
      <c r="U210" s="30"/>
      <c r="V210" s="30"/>
      <c r="W210" s="30"/>
    </row>
    <row r="211" ht="14.25" customHeight="1">
      <c r="U211" s="30"/>
      <c r="V211" s="30"/>
      <c r="W211" s="30"/>
    </row>
    <row r="212" ht="14.25" customHeight="1">
      <c r="U212" s="30"/>
      <c r="V212" s="30"/>
      <c r="W212" s="30"/>
    </row>
    <row r="213" ht="14.25" customHeight="1">
      <c r="U213" s="30"/>
      <c r="V213" s="30"/>
      <c r="W213" s="30"/>
    </row>
    <row r="214" ht="14.25" customHeight="1">
      <c r="U214" s="30"/>
      <c r="V214" s="30"/>
      <c r="W214" s="30"/>
    </row>
    <row r="215" ht="14.25" customHeight="1">
      <c r="U215" s="30"/>
      <c r="V215" s="30"/>
      <c r="W215" s="30"/>
    </row>
    <row r="216" ht="14.25" customHeight="1">
      <c r="U216" s="30"/>
      <c r="V216" s="30"/>
      <c r="W216" s="30"/>
    </row>
    <row r="217" ht="14.25" customHeight="1">
      <c r="U217" s="30"/>
      <c r="V217" s="30"/>
      <c r="W217" s="30"/>
    </row>
    <row r="218" ht="14.25" customHeight="1">
      <c r="U218" s="30"/>
      <c r="V218" s="30"/>
      <c r="W218" s="30"/>
    </row>
    <row r="219" ht="14.25" customHeight="1">
      <c r="U219" s="30"/>
      <c r="V219" s="30"/>
      <c r="W219" s="30"/>
    </row>
    <row r="220" ht="14.25" customHeight="1">
      <c r="U220" s="30"/>
      <c r="V220" s="30"/>
      <c r="W220" s="30"/>
    </row>
    <row r="221" ht="14.25" customHeight="1">
      <c r="U221" s="30"/>
      <c r="V221" s="30"/>
      <c r="W221" s="30"/>
    </row>
    <row r="222" ht="14.25" customHeight="1">
      <c r="U222" s="30"/>
      <c r="V222" s="30"/>
      <c r="W222" s="30"/>
    </row>
    <row r="223" ht="14.25" customHeight="1">
      <c r="U223" s="30"/>
      <c r="V223" s="30"/>
      <c r="W223" s="30"/>
    </row>
    <row r="224" ht="14.25" customHeight="1">
      <c r="U224" s="30"/>
      <c r="V224" s="30"/>
      <c r="W224" s="30"/>
    </row>
    <row r="225" ht="14.25" customHeight="1">
      <c r="U225" s="30"/>
      <c r="V225" s="30"/>
      <c r="W225" s="30"/>
    </row>
    <row r="226" ht="14.25" customHeight="1">
      <c r="U226" s="30"/>
      <c r="V226" s="30"/>
      <c r="W226" s="30"/>
    </row>
    <row r="227" ht="14.25" customHeight="1">
      <c r="U227" s="30"/>
      <c r="V227" s="30"/>
      <c r="W227" s="30"/>
    </row>
    <row r="228" ht="14.25" customHeight="1">
      <c r="U228" s="30"/>
      <c r="V228" s="30"/>
      <c r="W228" s="30"/>
    </row>
    <row r="229" ht="14.25" customHeight="1">
      <c r="U229" s="30"/>
      <c r="V229" s="30"/>
      <c r="W229" s="30"/>
    </row>
    <row r="230" ht="14.25" customHeight="1">
      <c r="U230" s="30"/>
      <c r="V230" s="30"/>
      <c r="W230" s="30"/>
    </row>
    <row r="231" ht="14.25" customHeight="1">
      <c r="U231" s="30"/>
      <c r="V231" s="30"/>
      <c r="W231" s="30"/>
    </row>
    <row r="232" ht="14.25" customHeight="1">
      <c r="U232" s="30"/>
      <c r="V232" s="30"/>
      <c r="W232" s="30"/>
    </row>
    <row r="233" ht="14.25" customHeight="1">
      <c r="U233" s="30"/>
      <c r="V233" s="30"/>
      <c r="W233" s="30"/>
    </row>
    <row r="234" ht="14.25" customHeight="1">
      <c r="U234" s="30"/>
      <c r="V234" s="30"/>
      <c r="W234" s="30"/>
    </row>
    <row r="235" ht="14.25" customHeight="1">
      <c r="U235" s="30"/>
      <c r="V235" s="30"/>
      <c r="W235" s="30"/>
    </row>
    <row r="236" ht="14.25" customHeight="1">
      <c r="U236" s="30"/>
      <c r="V236" s="30"/>
      <c r="W236" s="30"/>
    </row>
    <row r="237" ht="14.25" customHeight="1">
      <c r="U237" s="30"/>
      <c r="V237" s="30"/>
      <c r="W237" s="30"/>
    </row>
    <row r="238" ht="14.25" customHeight="1">
      <c r="U238" s="30"/>
      <c r="V238" s="30"/>
      <c r="W238" s="30"/>
    </row>
    <row r="239" ht="14.25" customHeight="1">
      <c r="U239" s="30"/>
      <c r="V239" s="30"/>
      <c r="W239" s="30"/>
    </row>
    <row r="240" ht="14.25" customHeight="1">
      <c r="U240" s="30"/>
      <c r="V240" s="30"/>
      <c r="W240" s="30"/>
    </row>
    <row r="241" ht="14.25" customHeight="1">
      <c r="U241" s="30"/>
      <c r="V241" s="30"/>
      <c r="W241" s="30"/>
    </row>
    <row r="242" ht="14.25" customHeight="1">
      <c r="U242" s="30"/>
      <c r="V242" s="30"/>
      <c r="W242" s="30"/>
    </row>
    <row r="243" ht="14.25" customHeight="1">
      <c r="U243" s="30"/>
      <c r="V243" s="30"/>
      <c r="W243" s="30"/>
    </row>
    <row r="244" ht="14.25" customHeight="1">
      <c r="U244" s="30"/>
      <c r="V244" s="30"/>
      <c r="W244" s="30"/>
    </row>
    <row r="245" ht="14.25" customHeight="1">
      <c r="U245" s="30"/>
      <c r="V245" s="30"/>
      <c r="W245" s="30"/>
    </row>
    <row r="246" ht="14.25" customHeight="1">
      <c r="U246" s="30"/>
      <c r="V246" s="30"/>
      <c r="W246" s="30"/>
    </row>
    <row r="247" ht="14.25" customHeight="1">
      <c r="U247" s="30"/>
      <c r="V247" s="30"/>
      <c r="W247" s="30"/>
    </row>
    <row r="248" ht="14.25" customHeight="1">
      <c r="U248" s="30"/>
      <c r="V248" s="30"/>
      <c r="W248" s="30"/>
    </row>
    <row r="249" ht="14.25" customHeight="1">
      <c r="U249" s="30"/>
      <c r="V249" s="30"/>
      <c r="W249" s="30"/>
    </row>
    <row r="250" ht="14.25" customHeight="1">
      <c r="U250" s="30"/>
      <c r="V250" s="30"/>
      <c r="W250" s="30"/>
    </row>
    <row r="251" ht="14.25" customHeight="1">
      <c r="U251" s="30"/>
      <c r="V251" s="30"/>
      <c r="W251" s="30"/>
    </row>
    <row r="252" ht="14.25" customHeight="1">
      <c r="U252" s="30"/>
      <c r="V252" s="30"/>
      <c r="W252" s="30"/>
    </row>
    <row r="253" ht="14.25" customHeight="1">
      <c r="U253" s="30"/>
      <c r="V253" s="30"/>
      <c r="W253" s="30"/>
    </row>
    <row r="254" ht="14.25" customHeight="1">
      <c r="U254" s="30"/>
      <c r="V254" s="30"/>
      <c r="W254" s="30"/>
    </row>
    <row r="255" ht="14.25" customHeight="1">
      <c r="U255" s="30"/>
      <c r="V255" s="30"/>
      <c r="W255" s="30"/>
    </row>
    <row r="256" ht="14.25" customHeight="1">
      <c r="U256" s="30"/>
      <c r="V256" s="30"/>
      <c r="W256" s="30"/>
    </row>
    <row r="257" ht="14.25" customHeight="1">
      <c r="U257" s="30"/>
      <c r="V257" s="30"/>
      <c r="W257" s="30"/>
    </row>
    <row r="258" ht="14.25" customHeight="1">
      <c r="U258" s="30"/>
      <c r="V258" s="30"/>
      <c r="W258" s="30"/>
    </row>
    <row r="259" ht="14.25" customHeight="1">
      <c r="U259" s="30"/>
      <c r="V259" s="30"/>
      <c r="W259" s="30"/>
    </row>
    <row r="260" ht="14.25" customHeight="1">
      <c r="U260" s="30"/>
      <c r="V260" s="30"/>
      <c r="W260" s="30"/>
    </row>
    <row r="261" ht="14.25" customHeight="1">
      <c r="U261" s="30"/>
      <c r="V261" s="30"/>
      <c r="W261" s="30"/>
    </row>
    <row r="262" ht="14.25" customHeight="1">
      <c r="U262" s="30"/>
      <c r="V262" s="30"/>
      <c r="W262" s="30"/>
    </row>
    <row r="263" ht="14.25" customHeight="1">
      <c r="U263" s="30"/>
      <c r="V263" s="30"/>
      <c r="W263" s="30"/>
    </row>
    <row r="264" ht="14.25" customHeight="1">
      <c r="U264" s="30"/>
      <c r="V264" s="30"/>
      <c r="W264" s="30"/>
    </row>
    <row r="265" ht="14.25" customHeight="1">
      <c r="U265" s="30"/>
      <c r="V265" s="30"/>
      <c r="W265" s="30"/>
    </row>
    <row r="266" ht="14.25" customHeight="1">
      <c r="U266" s="30"/>
      <c r="V266" s="30"/>
      <c r="W266" s="30"/>
    </row>
    <row r="267" ht="14.25" customHeight="1">
      <c r="U267" s="30"/>
      <c r="V267" s="30"/>
      <c r="W267" s="30"/>
    </row>
    <row r="268" ht="14.25" customHeight="1">
      <c r="U268" s="30"/>
      <c r="V268" s="30"/>
      <c r="W268" s="30"/>
    </row>
    <row r="269" ht="14.25" customHeight="1">
      <c r="U269" s="30"/>
      <c r="V269" s="30"/>
      <c r="W269" s="30"/>
    </row>
    <row r="270" ht="14.25" customHeight="1">
      <c r="U270" s="30"/>
      <c r="V270" s="30"/>
      <c r="W270" s="30"/>
    </row>
    <row r="271" ht="14.25" customHeight="1">
      <c r="U271" s="30"/>
      <c r="V271" s="30"/>
      <c r="W271" s="30"/>
    </row>
    <row r="272" ht="14.25" customHeight="1">
      <c r="U272" s="30"/>
      <c r="V272" s="30"/>
      <c r="W272" s="30"/>
    </row>
    <row r="273" ht="14.25" customHeight="1">
      <c r="U273" s="30"/>
      <c r="V273" s="30"/>
      <c r="W273" s="30"/>
    </row>
    <row r="274" ht="14.25" customHeight="1">
      <c r="U274" s="30"/>
      <c r="V274" s="30"/>
      <c r="W274" s="30"/>
    </row>
    <row r="275" ht="14.25" customHeight="1">
      <c r="U275" s="30"/>
      <c r="V275" s="30"/>
      <c r="W275" s="30"/>
    </row>
    <row r="276" ht="14.25" customHeight="1">
      <c r="U276" s="30"/>
      <c r="V276" s="30"/>
      <c r="W276" s="30"/>
    </row>
    <row r="277" ht="14.25" customHeight="1">
      <c r="U277" s="30"/>
      <c r="V277" s="30"/>
      <c r="W277" s="30"/>
    </row>
    <row r="278" ht="14.25" customHeight="1">
      <c r="U278" s="30"/>
      <c r="V278" s="30"/>
      <c r="W278" s="30"/>
    </row>
    <row r="279" ht="14.25" customHeight="1">
      <c r="U279" s="30"/>
      <c r="V279" s="30"/>
      <c r="W279" s="30"/>
    </row>
    <row r="280" ht="14.25" customHeight="1">
      <c r="U280" s="30"/>
      <c r="V280" s="30"/>
      <c r="W280" s="30"/>
    </row>
    <row r="281" ht="14.25" customHeight="1">
      <c r="U281" s="30"/>
      <c r="V281" s="30"/>
      <c r="W281" s="30"/>
    </row>
    <row r="282" ht="14.25" customHeight="1">
      <c r="U282" s="30"/>
      <c r="V282" s="30"/>
      <c r="W282" s="30"/>
    </row>
    <row r="283" ht="14.25" customHeight="1">
      <c r="U283" s="30"/>
      <c r="V283" s="30"/>
      <c r="W283" s="30"/>
    </row>
    <row r="284" ht="14.25" customHeight="1">
      <c r="U284" s="30"/>
      <c r="V284" s="30"/>
      <c r="W284" s="30"/>
    </row>
    <row r="285" ht="14.25" customHeight="1">
      <c r="U285" s="30"/>
      <c r="V285" s="30"/>
      <c r="W285" s="30"/>
    </row>
    <row r="286" ht="14.25" customHeight="1">
      <c r="U286" s="30"/>
      <c r="V286" s="30"/>
      <c r="W286" s="30"/>
    </row>
    <row r="287" ht="14.25" customHeight="1">
      <c r="U287" s="30"/>
      <c r="V287" s="30"/>
      <c r="W287" s="30"/>
    </row>
    <row r="288" ht="14.25" customHeight="1">
      <c r="U288" s="30"/>
      <c r="V288" s="30"/>
      <c r="W288" s="30"/>
    </row>
    <row r="289" ht="14.25" customHeight="1">
      <c r="U289" s="30"/>
      <c r="V289" s="30"/>
      <c r="W289" s="30"/>
    </row>
    <row r="290" ht="14.25" customHeight="1">
      <c r="U290" s="30"/>
      <c r="V290" s="30"/>
      <c r="W290" s="30"/>
    </row>
    <row r="291" ht="14.25" customHeight="1">
      <c r="U291" s="30"/>
      <c r="V291" s="30"/>
      <c r="W291" s="30"/>
    </row>
    <row r="292" ht="14.25" customHeight="1">
      <c r="U292" s="30"/>
      <c r="V292" s="30"/>
      <c r="W292" s="30"/>
    </row>
    <row r="293" ht="14.25" customHeight="1">
      <c r="U293" s="30"/>
      <c r="V293" s="30"/>
      <c r="W293" s="30"/>
    </row>
    <row r="294" ht="14.25" customHeight="1">
      <c r="U294" s="30"/>
      <c r="V294" s="30"/>
      <c r="W294" s="30"/>
    </row>
    <row r="295" ht="14.25" customHeight="1">
      <c r="U295" s="30"/>
      <c r="V295" s="30"/>
      <c r="W295" s="30"/>
    </row>
    <row r="296" ht="14.25" customHeight="1">
      <c r="U296" s="30"/>
      <c r="V296" s="30"/>
      <c r="W296" s="30"/>
    </row>
    <row r="297" ht="14.25" customHeight="1">
      <c r="U297" s="30"/>
      <c r="V297" s="30"/>
      <c r="W297" s="30"/>
    </row>
    <row r="298" ht="14.25" customHeight="1">
      <c r="U298" s="30"/>
      <c r="V298" s="30"/>
      <c r="W298" s="30"/>
    </row>
    <row r="299" ht="14.25" customHeight="1">
      <c r="U299" s="30"/>
      <c r="V299" s="30"/>
      <c r="W299" s="30"/>
    </row>
    <row r="300" ht="14.25" customHeight="1">
      <c r="U300" s="30"/>
      <c r="V300" s="30"/>
      <c r="W300" s="30"/>
    </row>
    <row r="301" ht="14.25" customHeight="1">
      <c r="U301" s="30"/>
      <c r="V301" s="30"/>
      <c r="W301" s="30"/>
    </row>
    <row r="302" ht="14.25" customHeight="1">
      <c r="U302" s="30"/>
      <c r="V302" s="30"/>
      <c r="W302" s="30"/>
    </row>
    <row r="303" ht="14.25" customHeight="1">
      <c r="U303" s="30"/>
      <c r="V303" s="30"/>
      <c r="W303" s="30"/>
    </row>
    <row r="304" ht="14.25" customHeight="1">
      <c r="U304" s="30"/>
      <c r="V304" s="30"/>
      <c r="W304" s="30"/>
    </row>
    <row r="305" ht="14.25" customHeight="1">
      <c r="U305" s="30"/>
      <c r="V305" s="30"/>
      <c r="W305" s="30"/>
    </row>
    <row r="306" ht="14.25" customHeight="1">
      <c r="U306" s="30"/>
      <c r="V306" s="30"/>
      <c r="W306" s="30"/>
    </row>
    <row r="307" ht="14.25" customHeight="1">
      <c r="U307" s="30"/>
      <c r="V307" s="30"/>
      <c r="W307" s="30"/>
    </row>
    <row r="308" ht="14.25" customHeight="1">
      <c r="U308" s="30"/>
      <c r="V308" s="30"/>
      <c r="W308" s="30"/>
    </row>
    <row r="309" ht="14.25" customHeight="1">
      <c r="U309" s="30"/>
      <c r="V309" s="30"/>
      <c r="W309" s="30"/>
    </row>
    <row r="310" ht="14.25" customHeight="1">
      <c r="U310" s="30"/>
      <c r="V310" s="30"/>
      <c r="W310" s="30"/>
    </row>
    <row r="311" ht="14.25" customHeight="1">
      <c r="U311" s="30"/>
      <c r="V311" s="30"/>
      <c r="W311" s="30"/>
    </row>
    <row r="312" ht="14.25" customHeight="1">
      <c r="U312" s="30"/>
      <c r="V312" s="30"/>
      <c r="W312" s="30"/>
    </row>
    <row r="313" ht="14.25" customHeight="1">
      <c r="U313" s="30"/>
      <c r="V313" s="30"/>
      <c r="W313" s="30"/>
    </row>
    <row r="314" ht="14.25" customHeight="1">
      <c r="U314" s="30"/>
      <c r="V314" s="30"/>
      <c r="W314" s="30"/>
    </row>
    <row r="315" ht="14.25" customHeight="1">
      <c r="U315" s="30"/>
      <c r="V315" s="30"/>
      <c r="W315" s="30"/>
    </row>
    <row r="316" ht="14.25" customHeight="1">
      <c r="U316" s="30"/>
      <c r="V316" s="30"/>
      <c r="W316" s="30"/>
    </row>
    <row r="317" ht="14.25" customHeight="1">
      <c r="U317" s="30"/>
      <c r="V317" s="30"/>
      <c r="W317" s="30"/>
    </row>
    <row r="318" ht="14.25" customHeight="1">
      <c r="U318" s="30"/>
      <c r="V318" s="30"/>
      <c r="W318" s="30"/>
    </row>
    <row r="319" ht="14.25" customHeight="1">
      <c r="U319" s="30"/>
      <c r="V319" s="30"/>
      <c r="W319" s="30"/>
    </row>
    <row r="320" ht="14.25" customHeight="1">
      <c r="U320" s="30"/>
      <c r="V320" s="30"/>
      <c r="W320" s="30"/>
    </row>
    <row r="321" ht="14.25" customHeight="1">
      <c r="U321" s="30"/>
      <c r="V321" s="30"/>
      <c r="W321" s="30"/>
    </row>
    <row r="322" ht="14.25" customHeight="1">
      <c r="U322" s="30"/>
      <c r="V322" s="30"/>
      <c r="W322" s="30"/>
    </row>
    <row r="323" ht="14.25" customHeight="1">
      <c r="U323" s="30"/>
      <c r="V323" s="30"/>
      <c r="W323" s="30"/>
    </row>
    <row r="324" ht="14.25" customHeight="1">
      <c r="U324" s="30"/>
      <c r="V324" s="30"/>
      <c r="W324" s="30"/>
    </row>
    <row r="325" ht="14.25" customHeight="1">
      <c r="U325" s="30"/>
      <c r="V325" s="30"/>
      <c r="W325" s="30"/>
    </row>
    <row r="326" ht="14.25" customHeight="1">
      <c r="U326" s="30"/>
      <c r="V326" s="30"/>
      <c r="W326" s="30"/>
    </row>
    <row r="327" ht="14.25" customHeight="1">
      <c r="U327" s="30"/>
      <c r="V327" s="30"/>
      <c r="W327" s="30"/>
    </row>
    <row r="328" ht="14.25" customHeight="1">
      <c r="U328" s="30"/>
      <c r="V328" s="30"/>
      <c r="W328" s="30"/>
    </row>
    <row r="329" ht="14.25" customHeight="1">
      <c r="U329" s="30"/>
      <c r="V329" s="30"/>
      <c r="W329" s="30"/>
    </row>
    <row r="330" ht="14.25" customHeight="1">
      <c r="U330" s="30"/>
      <c r="V330" s="30"/>
      <c r="W330" s="30"/>
    </row>
    <row r="331" ht="14.25" customHeight="1">
      <c r="U331" s="30"/>
      <c r="V331" s="30"/>
      <c r="W331" s="30"/>
    </row>
    <row r="332" ht="14.25" customHeight="1">
      <c r="U332" s="30"/>
      <c r="V332" s="30"/>
      <c r="W332" s="30"/>
    </row>
    <row r="333" ht="14.25" customHeight="1">
      <c r="U333" s="30"/>
      <c r="V333" s="30"/>
      <c r="W333" s="30"/>
    </row>
    <row r="334" ht="14.25" customHeight="1">
      <c r="U334" s="30"/>
      <c r="V334" s="30"/>
      <c r="W334" s="30"/>
    </row>
    <row r="335" ht="14.25" customHeight="1">
      <c r="U335" s="30"/>
      <c r="V335" s="30"/>
      <c r="W335" s="30"/>
    </row>
    <row r="336" ht="14.25" customHeight="1">
      <c r="U336" s="30"/>
      <c r="V336" s="30"/>
      <c r="W336" s="30"/>
    </row>
    <row r="337" ht="14.25" customHeight="1">
      <c r="U337" s="30"/>
      <c r="V337" s="30"/>
      <c r="W337" s="30"/>
    </row>
    <row r="338" ht="14.25" customHeight="1">
      <c r="U338" s="30"/>
      <c r="V338" s="30"/>
      <c r="W338" s="30"/>
    </row>
    <row r="339" ht="14.25" customHeight="1">
      <c r="U339" s="30"/>
      <c r="V339" s="30"/>
      <c r="W339" s="30"/>
    </row>
    <row r="340" ht="14.25" customHeight="1">
      <c r="U340" s="30"/>
      <c r="V340" s="30"/>
      <c r="W340" s="30"/>
    </row>
    <row r="341" ht="14.25" customHeight="1">
      <c r="U341" s="30"/>
      <c r="V341" s="30"/>
      <c r="W341" s="30"/>
    </row>
    <row r="342" ht="14.25" customHeight="1">
      <c r="U342" s="30"/>
      <c r="V342" s="30"/>
      <c r="W342" s="30"/>
    </row>
    <row r="343" ht="14.25" customHeight="1">
      <c r="U343" s="30"/>
      <c r="V343" s="30"/>
      <c r="W343" s="30"/>
    </row>
    <row r="344" ht="14.25" customHeight="1">
      <c r="U344" s="30"/>
      <c r="V344" s="30"/>
      <c r="W344" s="30"/>
    </row>
    <row r="345" ht="14.25" customHeight="1">
      <c r="U345" s="30"/>
      <c r="V345" s="30"/>
      <c r="W345" s="30"/>
    </row>
    <row r="346" ht="14.25" customHeight="1">
      <c r="U346" s="30"/>
      <c r="V346" s="30"/>
      <c r="W346" s="30"/>
    </row>
    <row r="347" ht="14.25" customHeight="1">
      <c r="U347" s="30"/>
      <c r="V347" s="30"/>
      <c r="W347" s="30"/>
    </row>
    <row r="348" ht="14.25" customHeight="1">
      <c r="U348" s="30"/>
      <c r="V348" s="30"/>
      <c r="W348" s="30"/>
    </row>
    <row r="349" ht="14.25" customHeight="1">
      <c r="U349" s="30"/>
      <c r="V349" s="30"/>
      <c r="W349" s="30"/>
    </row>
    <row r="350" ht="14.25" customHeight="1">
      <c r="U350" s="30"/>
      <c r="V350" s="30"/>
      <c r="W350" s="30"/>
    </row>
    <row r="351" ht="14.25" customHeight="1">
      <c r="U351" s="30"/>
      <c r="V351" s="30"/>
      <c r="W351" s="30"/>
    </row>
    <row r="352" ht="14.25" customHeight="1">
      <c r="U352" s="30"/>
      <c r="V352" s="30"/>
      <c r="W352" s="30"/>
    </row>
    <row r="353" ht="14.25" customHeight="1">
      <c r="U353" s="30"/>
      <c r="V353" s="30"/>
      <c r="W353" s="30"/>
    </row>
    <row r="354" ht="14.25" customHeight="1">
      <c r="U354" s="30"/>
      <c r="V354" s="30"/>
      <c r="W354" s="30"/>
    </row>
    <row r="355" ht="14.25" customHeight="1">
      <c r="U355" s="30"/>
      <c r="V355" s="30"/>
      <c r="W355" s="30"/>
    </row>
    <row r="356" ht="14.25" customHeight="1">
      <c r="U356" s="30"/>
      <c r="V356" s="30"/>
      <c r="W356" s="30"/>
    </row>
    <row r="357" ht="14.25" customHeight="1">
      <c r="U357" s="30"/>
      <c r="V357" s="30"/>
      <c r="W357" s="30"/>
    </row>
    <row r="358" ht="14.25" customHeight="1">
      <c r="U358" s="30"/>
      <c r="V358" s="30"/>
      <c r="W358" s="30"/>
    </row>
    <row r="359" ht="14.25" customHeight="1">
      <c r="U359" s="30"/>
      <c r="V359" s="30"/>
      <c r="W359" s="30"/>
    </row>
    <row r="360" ht="14.25" customHeight="1">
      <c r="U360" s="30"/>
      <c r="V360" s="30"/>
      <c r="W360" s="30"/>
    </row>
    <row r="361" ht="14.25" customHeight="1">
      <c r="U361" s="30"/>
      <c r="V361" s="30"/>
      <c r="W361" s="30"/>
    </row>
    <row r="362" ht="14.25" customHeight="1">
      <c r="U362" s="30"/>
      <c r="V362" s="30"/>
      <c r="W362" s="30"/>
    </row>
    <row r="363" ht="14.25" customHeight="1">
      <c r="U363" s="30"/>
      <c r="V363" s="30"/>
      <c r="W363" s="30"/>
    </row>
    <row r="364" ht="14.25" customHeight="1">
      <c r="U364" s="30"/>
      <c r="V364" s="30"/>
      <c r="W364" s="30"/>
    </row>
    <row r="365" ht="14.25" customHeight="1">
      <c r="U365" s="30"/>
      <c r="V365" s="30"/>
      <c r="W365" s="30"/>
    </row>
    <row r="366" ht="14.25" customHeight="1">
      <c r="U366" s="30"/>
      <c r="V366" s="30"/>
      <c r="W366" s="30"/>
    </row>
    <row r="367" ht="14.25" customHeight="1">
      <c r="U367" s="30"/>
      <c r="V367" s="30"/>
      <c r="W367" s="30"/>
    </row>
    <row r="368" ht="14.25" customHeight="1">
      <c r="U368" s="30"/>
      <c r="V368" s="30"/>
      <c r="W368" s="30"/>
    </row>
    <row r="369" ht="14.25" customHeight="1">
      <c r="U369" s="30"/>
      <c r="V369" s="30"/>
      <c r="W369" s="30"/>
    </row>
    <row r="370" ht="14.25" customHeight="1">
      <c r="U370" s="30"/>
      <c r="V370" s="30"/>
      <c r="W370" s="30"/>
    </row>
    <row r="371" ht="14.25" customHeight="1">
      <c r="U371" s="30"/>
      <c r="V371" s="30"/>
      <c r="W371" s="30"/>
    </row>
    <row r="372" ht="14.25" customHeight="1">
      <c r="U372" s="30"/>
      <c r="V372" s="30"/>
      <c r="W372" s="30"/>
    </row>
    <row r="373" ht="14.25" customHeight="1">
      <c r="U373" s="30"/>
      <c r="V373" s="30"/>
      <c r="W373" s="30"/>
    </row>
    <row r="374" ht="14.25" customHeight="1">
      <c r="U374" s="30"/>
      <c r="V374" s="30"/>
      <c r="W374" s="30"/>
    </row>
    <row r="375" ht="14.25" customHeight="1">
      <c r="U375" s="30"/>
      <c r="V375" s="30"/>
      <c r="W375" s="30"/>
    </row>
    <row r="376" ht="14.25" customHeight="1">
      <c r="U376" s="30"/>
      <c r="V376" s="30"/>
      <c r="W376" s="30"/>
    </row>
    <row r="377" ht="14.25" customHeight="1">
      <c r="U377" s="30"/>
      <c r="V377" s="30"/>
      <c r="W377" s="30"/>
    </row>
    <row r="378" ht="14.25" customHeight="1">
      <c r="U378" s="30"/>
      <c r="V378" s="30"/>
      <c r="W378" s="30"/>
    </row>
    <row r="379" ht="14.25" customHeight="1">
      <c r="U379" s="30"/>
      <c r="V379" s="30"/>
      <c r="W379" s="30"/>
    </row>
    <row r="380" ht="14.25" customHeight="1">
      <c r="U380" s="30"/>
      <c r="V380" s="30"/>
      <c r="W380" s="30"/>
    </row>
    <row r="381" ht="14.25" customHeight="1">
      <c r="U381" s="30"/>
      <c r="V381" s="30"/>
      <c r="W381" s="30"/>
    </row>
    <row r="382" ht="14.25" customHeight="1">
      <c r="U382" s="30"/>
      <c r="V382" s="30"/>
      <c r="W382" s="30"/>
    </row>
    <row r="383" ht="14.25" customHeight="1">
      <c r="U383" s="30"/>
      <c r="V383" s="30"/>
      <c r="W383" s="30"/>
    </row>
    <row r="384" ht="14.25" customHeight="1">
      <c r="U384" s="30"/>
      <c r="V384" s="30"/>
      <c r="W384" s="30"/>
    </row>
    <row r="385" ht="14.25" customHeight="1">
      <c r="U385" s="30"/>
      <c r="V385" s="30"/>
      <c r="W385" s="30"/>
    </row>
    <row r="386" ht="14.25" customHeight="1">
      <c r="U386" s="30"/>
      <c r="V386" s="30"/>
      <c r="W386" s="30"/>
    </row>
    <row r="387" ht="14.25" customHeight="1">
      <c r="U387" s="30"/>
      <c r="V387" s="30"/>
      <c r="W387" s="30"/>
    </row>
    <row r="388" ht="14.25" customHeight="1">
      <c r="U388" s="30"/>
      <c r="V388" s="30"/>
      <c r="W388" s="30"/>
    </row>
    <row r="389" ht="14.25" customHeight="1">
      <c r="U389" s="30"/>
      <c r="V389" s="30"/>
      <c r="W389" s="30"/>
    </row>
    <row r="390" ht="14.25" customHeight="1">
      <c r="U390" s="30"/>
      <c r="V390" s="30"/>
      <c r="W390" s="30"/>
    </row>
    <row r="391" ht="14.25" customHeight="1">
      <c r="U391" s="30"/>
      <c r="V391" s="30"/>
      <c r="W391" s="30"/>
    </row>
    <row r="392" ht="14.25" customHeight="1">
      <c r="U392" s="30"/>
      <c r="V392" s="30"/>
      <c r="W392" s="30"/>
    </row>
    <row r="393" ht="14.25" customHeight="1">
      <c r="U393" s="30"/>
      <c r="V393" s="30"/>
      <c r="W393" s="30"/>
    </row>
    <row r="394" ht="14.25" customHeight="1">
      <c r="U394" s="30"/>
      <c r="V394" s="30"/>
      <c r="W394" s="30"/>
    </row>
    <row r="395" ht="14.25" customHeight="1">
      <c r="U395" s="30"/>
      <c r="V395" s="30"/>
      <c r="W395" s="30"/>
    </row>
    <row r="396" ht="14.25" customHeight="1">
      <c r="U396" s="30"/>
      <c r="V396" s="30"/>
      <c r="W396" s="30"/>
    </row>
    <row r="397" ht="14.25" customHeight="1">
      <c r="U397" s="30"/>
      <c r="V397" s="30"/>
      <c r="W397" s="30"/>
    </row>
    <row r="398" ht="14.25" customHeight="1">
      <c r="U398" s="30"/>
      <c r="V398" s="30"/>
      <c r="W398" s="30"/>
    </row>
    <row r="399" ht="14.25" customHeight="1">
      <c r="U399" s="30"/>
      <c r="V399" s="30"/>
      <c r="W399" s="30"/>
    </row>
    <row r="400" ht="14.25" customHeight="1">
      <c r="U400" s="30"/>
      <c r="V400" s="30"/>
      <c r="W400" s="30"/>
    </row>
    <row r="401" ht="14.25" customHeight="1">
      <c r="U401" s="30"/>
      <c r="V401" s="30"/>
      <c r="W401" s="30"/>
    </row>
    <row r="402" ht="14.25" customHeight="1">
      <c r="U402" s="30"/>
      <c r="V402" s="30"/>
      <c r="W402" s="30"/>
    </row>
    <row r="403" ht="14.25" customHeight="1">
      <c r="U403" s="30"/>
      <c r="V403" s="30"/>
      <c r="W403" s="30"/>
    </row>
    <row r="404" ht="14.25" customHeight="1">
      <c r="U404" s="30"/>
      <c r="V404" s="30"/>
      <c r="W404" s="30"/>
    </row>
    <row r="405" ht="14.25" customHeight="1">
      <c r="U405" s="30"/>
      <c r="V405" s="30"/>
      <c r="W405" s="30"/>
    </row>
    <row r="406" ht="14.25" customHeight="1">
      <c r="U406" s="30"/>
      <c r="V406" s="30"/>
      <c r="W406" s="30"/>
    </row>
    <row r="407" ht="14.25" customHeight="1">
      <c r="U407" s="30"/>
      <c r="V407" s="30"/>
      <c r="W407" s="30"/>
    </row>
    <row r="408" ht="14.25" customHeight="1">
      <c r="U408" s="30"/>
      <c r="V408" s="30"/>
      <c r="W408" s="30"/>
    </row>
    <row r="409" ht="14.25" customHeight="1">
      <c r="U409" s="30"/>
      <c r="V409" s="30"/>
      <c r="W409" s="30"/>
    </row>
    <row r="410" ht="14.25" customHeight="1">
      <c r="U410" s="30"/>
      <c r="V410" s="30"/>
      <c r="W410" s="30"/>
    </row>
    <row r="411" ht="14.25" customHeight="1">
      <c r="U411" s="30"/>
      <c r="V411" s="30"/>
      <c r="W411" s="30"/>
    </row>
    <row r="412" ht="14.25" customHeight="1">
      <c r="U412" s="30"/>
      <c r="V412" s="30"/>
      <c r="W412" s="30"/>
    </row>
    <row r="413" ht="14.25" customHeight="1">
      <c r="U413" s="30"/>
      <c r="V413" s="30"/>
      <c r="W413" s="30"/>
    </row>
    <row r="414" ht="14.25" customHeight="1">
      <c r="U414" s="30"/>
      <c r="V414" s="30"/>
      <c r="W414" s="30"/>
    </row>
    <row r="415" ht="14.25" customHeight="1">
      <c r="U415" s="30"/>
      <c r="V415" s="30"/>
      <c r="W415" s="30"/>
    </row>
    <row r="416" ht="14.25" customHeight="1">
      <c r="U416" s="30"/>
      <c r="V416" s="30"/>
      <c r="W416" s="30"/>
    </row>
    <row r="417" ht="14.25" customHeight="1">
      <c r="U417" s="30"/>
      <c r="V417" s="30"/>
      <c r="W417" s="30"/>
    </row>
    <row r="418" ht="14.25" customHeight="1">
      <c r="U418" s="30"/>
      <c r="V418" s="30"/>
      <c r="W418" s="30"/>
    </row>
    <row r="419" ht="14.25" customHeight="1">
      <c r="U419" s="30"/>
      <c r="V419" s="30"/>
      <c r="W419" s="30"/>
    </row>
    <row r="420" ht="14.25" customHeight="1">
      <c r="U420" s="30"/>
      <c r="V420" s="30"/>
      <c r="W420" s="30"/>
    </row>
    <row r="421" ht="14.25" customHeight="1">
      <c r="U421" s="30"/>
      <c r="V421" s="30"/>
      <c r="W421" s="30"/>
    </row>
    <row r="422" ht="14.25" customHeight="1">
      <c r="U422" s="30"/>
      <c r="V422" s="30"/>
      <c r="W422" s="30"/>
    </row>
    <row r="423" ht="14.25" customHeight="1">
      <c r="U423" s="30"/>
      <c r="V423" s="30"/>
      <c r="W423" s="30"/>
    </row>
    <row r="424" ht="14.25" customHeight="1">
      <c r="U424" s="30"/>
      <c r="V424" s="30"/>
      <c r="W424" s="30"/>
    </row>
    <row r="425" ht="14.25" customHeight="1">
      <c r="U425" s="30"/>
      <c r="V425" s="30"/>
      <c r="W425" s="30"/>
    </row>
    <row r="426" ht="14.25" customHeight="1">
      <c r="U426" s="30"/>
      <c r="V426" s="30"/>
      <c r="W426" s="30"/>
    </row>
    <row r="427" ht="14.25" customHeight="1">
      <c r="U427" s="30"/>
      <c r="V427" s="30"/>
      <c r="W427" s="30"/>
    </row>
    <row r="428" ht="14.25" customHeight="1">
      <c r="U428" s="30"/>
      <c r="V428" s="30"/>
      <c r="W428" s="30"/>
    </row>
    <row r="429" ht="14.25" customHeight="1">
      <c r="U429" s="30"/>
      <c r="V429" s="30"/>
      <c r="W429" s="30"/>
    </row>
    <row r="430" ht="14.25" customHeight="1">
      <c r="U430" s="30"/>
      <c r="V430" s="30"/>
      <c r="W430" s="30"/>
    </row>
    <row r="431" ht="14.25" customHeight="1">
      <c r="U431" s="30"/>
      <c r="V431" s="30"/>
      <c r="W431" s="30"/>
    </row>
    <row r="432" ht="14.25" customHeight="1">
      <c r="U432" s="30"/>
      <c r="V432" s="30"/>
      <c r="W432" s="30"/>
    </row>
    <row r="433" ht="14.25" customHeight="1">
      <c r="U433" s="30"/>
      <c r="V433" s="30"/>
      <c r="W433" s="30"/>
    </row>
    <row r="434" ht="14.25" customHeight="1">
      <c r="U434" s="30"/>
      <c r="V434" s="30"/>
      <c r="W434" s="30"/>
    </row>
    <row r="435" ht="14.25" customHeight="1">
      <c r="U435" s="30"/>
      <c r="V435" s="30"/>
      <c r="W435" s="30"/>
    </row>
    <row r="436" ht="14.25" customHeight="1">
      <c r="U436" s="30"/>
      <c r="V436" s="30"/>
      <c r="W436" s="30"/>
    </row>
    <row r="437" ht="14.25" customHeight="1">
      <c r="U437" s="30"/>
      <c r="V437" s="30"/>
      <c r="W437" s="30"/>
    </row>
    <row r="438" ht="14.25" customHeight="1">
      <c r="U438" s="30"/>
      <c r="V438" s="30"/>
      <c r="W438" s="30"/>
    </row>
    <row r="439" ht="14.25" customHeight="1">
      <c r="U439" s="30"/>
      <c r="V439" s="30"/>
      <c r="W439" s="30"/>
    </row>
    <row r="440" ht="14.25" customHeight="1">
      <c r="U440" s="30"/>
      <c r="V440" s="30"/>
      <c r="W440" s="30"/>
    </row>
    <row r="441" ht="14.25" customHeight="1">
      <c r="U441" s="30"/>
      <c r="V441" s="30"/>
      <c r="W441" s="30"/>
    </row>
    <row r="442" ht="14.25" customHeight="1">
      <c r="U442" s="30"/>
      <c r="V442" s="30"/>
      <c r="W442" s="30"/>
    </row>
    <row r="443" ht="14.25" customHeight="1">
      <c r="U443" s="30"/>
      <c r="V443" s="30"/>
      <c r="W443" s="30"/>
    </row>
    <row r="444" ht="14.25" customHeight="1">
      <c r="U444" s="30"/>
      <c r="V444" s="30"/>
      <c r="W444" s="30"/>
    </row>
    <row r="445" ht="14.25" customHeight="1">
      <c r="U445" s="30"/>
      <c r="V445" s="30"/>
      <c r="W445" s="30"/>
    </row>
    <row r="446" ht="14.25" customHeight="1">
      <c r="U446" s="30"/>
      <c r="V446" s="30"/>
      <c r="W446" s="30"/>
    </row>
    <row r="447" ht="14.25" customHeight="1">
      <c r="U447" s="30"/>
      <c r="V447" s="30"/>
      <c r="W447" s="30"/>
    </row>
    <row r="448" ht="14.25" customHeight="1">
      <c r="U448" s="30"/>
      <c r="V448" s="30"/>
      <c r="W448" s="30"/>
    </row>
    <row r="449" ht="14.25" customHeight="1">
      <c r="U449" s="30"/>
      <c r="V449" s="30"/>
      <c r="W449" s="30"/>
    </row>
    <row r="450" ht="14.25" customHeight="1">
      <c r="U450" s="30"/>
      <c r="V450" s="30"/>
      <c r="W450" s="30"/>
    </row>
    <row r="451" ht="14.25" customHeight="1">
      <c r="U451" s="30"/>
      <c r="V451" s="30"/>
      <c r="W451" s="30"/>
    </row>
    <row r="452" ht="14.25" customHeight="1">
      <c r="U452" s="30"/>
      <c r="V452" s="30"/>
      <c r="W452" s="30"/>
    </row>
    <row r="453" ht="14.25" customHeight="1">
      <c r="U453" s="30"/>
      <c r="V453" s="30"/>
      <c r="W453" s="30"/>
    </row>
    <row r="454" ht="14.25" customHeight="1">
      <c r="U454" s="30"/>
      <c r="V454" s="30"/>
      <c r="W454" s="30"/>
    </row>
    <row r="455" ht="14.25" customHeight="1">
      <c r="U455" s="30"/>
      <c r="V455" s="30"/>
      <c r="W455" s="30"/>
    </row>
    <row r="456" ht="14.25" customHeight="1">
      <c r="U456" s="30"/>
      <c r="V456" s="30"/>
      <c r="W456" s="30"/>
    </row>
    <row r="457" ht="14.25" customHeight="1">
      <c r="U457" s="30"/>
      <c r="V457" s="30"/>
      <c r="W457" s="30"/>
    </row>
    <row r="458" ht="14.25" customHeight="1">
      <c r="U458" s="30"/>
      <c r="V458" s="30"/>
      <c r="W458" s="30"/>
    </row>
    <row r="459" ht="14.25" customHeight="1">
      <c r="U459" s="30"/>
      <c r="V459" s="30"/>
      <c r="W459" s="30"/>
    </row>
    <row r="460" ht="14.25" customHeight="1">
      <c r="U460" s="30"/>
      <c r="V460" s="30"/>
      <c r="W460" s="30"/>
    </row>
    <row r="461" ht="14.25" customHeight="1">
      <c r="U461" s="30"/>
      <c r="V461" s="30"/>
      <c r="W461" s="30"/>
    </row>
    <row r="462" ht="14.25" customHeight="1">
      <c r="U462" s="30"/>
      <c r="V462" s="30"/>
      <c r="W462" s="30"/>
    </row>
    <row r="463" ht="14.25" customHeight="1">
      <c r="U463" s="30"/>
      <c r="V463" s="30"/>
      <c r="W463" s="30"/>
    </row>
    <row r="464" ht="14.25" customHeight="1">
      <c r="U464" s="30"/>
      <c r="V464" s="30"/>
      <c r="W464" s="30"/>
    </row>
    <row r="465" ht="14.25" customHeight="1">
      <c r="U465" s="30"/>
      <c r="V465" s="30"/>
      <c r="W465" s="30"/>
    </row>
    <row r="466" ht="14.25" customHeight="1">
      <c r="U466" s="30"/>
      <c r="V466" s="30"/>
      <c r="W466" s="30"/>
    </row>
    <row r="467" ht="14.25" customHeight="1">
      <c r="U467" s="30"/>
      <c r="V467" s="30"/>
      <c r="W467" s="30"/>
    </row>
    <row r="468" ht="14.25" customHeight="1">
      <c r="U468" s="30"/>
      <c r="V468" s="30"/>
      <c r="W468" s="30"/>
    </row>
    <row r="469" ht="14.25" customHeight="1">
      <c r="U469" s="30"/>
      <c r="V469" s="30"/>
      <c r="W469" s="30"/>
    </row>
    <row r="470" ht="14.25" customHeight="1">
      <c r="U470" s="30"/>
      <c r="V470" s="30"/>
      <c r="W470" s="30"/>
    </row>
    <row r="471" ht="14.25" customHeight="1">
      <c r="U471" s="30"/>
      <c r="V471" s="30"/>
      <c r="W471" s="30"/>
    </row>
    <row r="472" ht="14.25" customHeight="1">
      <c r="U472" s="30"/>
      <c r="V472" s="30"/>
      <c r="W472" s="30"/>
    </row>
    <row r="473" ht="14.25" customHeight="1">
      <c r="U473" s="30"/>
      <c r="V473" s="30"/>
      <c r="W473" s="30"/>
    </row>
    <row r="474" ht="14.25" customHeight="1">
      <c r="U474" s="30"/>
      <c r="V474" s="30"/>
      <c r="W474" s="30"/>
    </row>
    <row r="475" ht="14.25" customHeight="1">
      <c r="U475" s="30"/>
      <c r="V475" s="30"/>
      <c r="W475" s="30"/>
    </row>
    <row r="476" ht="14.25" customHeight="1">
      <c r="U476" s="30"/>
      <c r="V476" s="30"/>
      <c r="W476" s="30"/>
    </row>
    <row r="477" ht="14.25" customHeight="1">
      <c r="U477" s="30"/>
      <c r="V477" s="30"/>
      <c r="W477" s="30"/>
    </row>
    <row r="478" ht="14.25" customHeight="1">
      <c r="U478" s="30"/>
      <c r="V478" s="30"/>
      <c r="W478" s="30"/>
    </row>
    <row r="479" ht="14.25" customHeight="1">
      <c r="U479" s="30"/>
      <c r="V479" s="30"/>
      <c r="W479" s="30"/>
    </row>
    <row r="480" ht="14.25" customHeight="1">
      <c r="U480" s="30"/>
      <c r="V480" s="30"/>
      <c r="W480" s="30"/>
    </row>
    <row r="481" ht="14.25" customHeight="1">
      <c r="U481" s="30"/>
      <c r="V481" s="30"/>
      <c r="W481" s="30"/>
    </row>
    <row r="482" ht="14.25" customHeight="1">
      <c r="U482" s="30"/>
      <c r="V482" s="30"/>
      <c r="W482" s="30"/>
    </row>
    <row r="483" ht="14.25" customHeight="1">
      <c r="U483" s="30"/>
      <c r="V483" s="30"/>
      <c r="W483" s="30"/>
    </row>
    <row r="484" ht="14.25" customHeight="1">
      <c r="U484" s="30"/>
      <c r="V484" s="30"/>
      <c r="W484" s="30"/>
    </row>
    <row r="485" ht="14.25" customHeight="1">
      <c r="U485" s="30"/>
      <c r="V485" s="30"/>
      <c r="W485" s="30"/>
    </row>
    <row r="486" ht="14.25" customHeight="1">
      <c r="U486" s="30"/>
      <c r="V486" s="30"/>
      <c r="W486" s="30"/>
    </row>
    <row r="487" ht="14.25" customHeight="1">
      <c r="U487" s="30"/>
      <c r="V487" s="30"/>
      <c r="W487" s="30"/>
    </row>
    <row r="488" ht="14.25" customHeight="1">
      <c r="U488" s="30"/>
      <c r="V488" s="30"/>
      <c r="W488" s="30"/>
    </row>
    <row r="489" ht="14.25" customHeight="1">
      <c r="U489" s="30"/>
      <c r="V489" s="30"/>
      <c r="W489" s="30"/>
    </row>
    <row r="490" ht="14.25" customHeight="1">
      <c r="U490" s="30"/>
      <c r="V490" s="30"/>
      <c r="W490" s="30"/>
    </row>
    <row r="491" ht="14.25" customHeight="1">
      <c r="U491" s="30"/>
      <c r="V491" s="30"/>
      <c r="W491" s="30"/>
    </row>
    <row r="492" ht="14.25" customHeight="1">
      <c r="U492" s="30"/>
      <c r="V492" s="30"/>
      <c r="W492" s="30"/>
    </row>
    <row r="493" ht="14.25" customHeight="1">
      <c r="U493" s="30"/>
      <c r="V493" s="30"/>
      <c r="W493" s="30"/>
    </row>
    <row r="494" ht="14.25" customHeight="1">
      <c r="U494" s="30"/>
      <c r="V494" s="30"/>
      <c r="W494" s="30"/>
    </row>
    <row r="495" ht="14.25" customHeight="1">
      <c r="U495" s="30"/>
      <c r="V495" s="30"/>
      <c r="W495" s="30"/>
    </row>
    <row r="496" ht="14.25" customHeight="1">
      <c r="U496" s="30"/>
      <c r="V496" s="30"/>
      <c r="W496" s="30"/>
    </row>
    <row r="497" ht="14.25" customHeight="1">
      <c r="U497" s="30"/>
      <c r="V497" s="30"/>
      <c r="W497" s="30"/>
    </row>
    <row r="498" ht="14.25" customHeight="1">
      <c r="U498" s="30"/>
      <c r="V498" s="30"/>
      <c r="W498" s="30"/>
    </row>
    <row r="499" ht="14.25" customHeight="1">
      <c r="U499" s="30"/>
      <c r="V499" s="30"/>
      <c r="W499" s="30"/>
    </row>
    <row r="500" ht="14.25" customHeight="1">
      <c r="U500" s="30"/>
      <c r="V500" s="30"/>
      <c r="W500" s="30"/>
    </row>
    <row r="501" ht="14.25" customHeight="1">
      <c r="U501" s="30"/>
      <c r="V501" s="30"/>
      <c r="W501" s="30"/>
    </row>
    <row r="502" ht="14.25" customHeight="1">
      <c r="U502" s="30"/>
      <c r="V502" s="30"/>
      <c r="W502" s="30"/>
    </row>
    <row r="503" ht="14.25" customHeight="1">
      <c r="U503" s="30"/>
      <c r="V503" s="30"/>
      <c r="W503" s="30"/>
    </row>
    <row r="504" ht="14.25" customHeight="1">
      <c r="U504" s="30"/>
      <c r="V504" s="30"/>
      <c r="W504" s="30"/>
    </row>
    <row r="505" ht="14.25" customHeight="1">
      <c r="U505" s="30"/>
      <c r="V505" s="30"/>
      <c r="W505" s="30"/>
    </row>
    <row r="506" ht="14.25" customHeight="1">
      <c r="U506" s="30"/>
      <c r="V506" s="30"/>
      <c r="W506" s="30"/>
    </row>
    <row r="507" ht="14.25" customHeight="1">
      <c r="U507" s="30"/>
      <c r="V507" s="30"/>
      <c r="W507" s="30"/>
    </row>
    <row r="508" ht="14.25" customHeight="1">
      <c r="U508" s="30"/>
      <c r="V508" s="30"/>
      <c r="W508" s="30"/>
    </row>
    <row r="509" ht="14.25" customHeight="1">
      <c r="U509" s="30"/>
      <c r="V509" s="30"/>
      <c r="W509" s="30"/>
    </row>
    <row r="510" ht="14.25" customHeight="1">
      <c r="U510" s="30"/>
      <c r="V510" s="30"/>
      <c r="W510" s="30"/>
    </row>
    <row r="511" ht="14.25" customHeight="1">
      <c r="U511" s="30"/>
      <c r="V511" s="30"/>
      <c r="W511" s="30"/>
    </row>
    <row r="512" ht="14.25" customHeight="1">
      <c r="U512" s="30"/>
      <c r="V512" s="30"/>
      <c r="W512" s="30"/>
    </row>
    <row r="513" ht="14.25" customHeight="1">
      <c r="U513" s="30"/>
      <c r="V513" s="30"/>
      <c r="W513" s="30"/>
    </row>
    <row r="514" ht="14.25" customHeight="1">
      <c r="U514" s="30"/>
      <c r="V514" s="30"/>
      <c r="W514" s="30"/>
    </row>
    <row r="515" ht="14.25" customHeight="1">
      <c r="U515" s="30"/>
      <c r="V515" s="30"/>
      <c r="W515" s="30"/>
    </row>
    <row r="516" ht="14.25" customHeight="1">
      <c r="U516" s="30"/>
      <c r="V516" s="30"/>
      <c r="W516" s="30"/>
    </row>
    <row r="517" ht="14.25" customHeight="1">
      <c r="U517" s="30"/>
      <c r="V517" s="30"/>
      <c r="W517" s="30"/>
    </row>
    <row r="518" ht="14.25" customHeight="1">
      <c r="U518" s="30"/>
      <c r="V518" s="30"/>
      <c r="W518" s="30"/>
    </row>
    <row r="519" ht="14.25" customHeight="1">
      <c r="U519" s="30"/>
      <c r="V519" s="30"/>
      <c r="W519" s="30"/>
    </row>
    <row r="520" ht="14.25" customHeight="1">
      <c r="U520" s="30"/>
      <c r="V520" s="30"/>
      <c r="W520" s="30"/>
    </row>
    <row r="521" ht="14.25" customHeight="1">
      <c r="U521" s="30"/>
      <c r="V521" s="30"/>
      <c r="W521" s="30"/>
    </row>
    <row r="522" ht="14.25" customHeight="1">
      <c r="U522" s="30"/>
      <c r="V522" s="30"/>
      <c r="W522" s="30"/>
    </row>
    <row r="523" ht="14.25" customHeight="1">
      <c r="U523" s="30"/>
      <c r="V523" s="30"/>
      <c r="W523" s="30"/>
    </row>
    <row r="524" ht="14.25" customHeight="1">
      <c r="U524" s="30"/>
      <c r="V524" s="30"/>
      <c r="W524" s="30"/>
    </row>
    <row r="525" ht="14.25" customHeight="1">
      <c r="U525" s="30"/>
      <c r="V525" s="30"/>
      <c r="W525" s="30"/>
    </row>
    <row r="526" ht="14.25" customHeight="1">
      <c r="U526" s="30"/>
      <c r="V526" s="30"/>
      <c r="W526" s="30"/>
    </row>
    <row r="527" ht="14.25" customHeight="1">
      <c r="U527" s="30"/>
      <c r="V527" s="30"/>
      <c r="W527" s="30"/>
    </row>
    <row r="528" ht="14.25" customHeight="1">
      <c r="U528" s="30"/>
      <c r="V528" s="30"/>
      <c r="W528" s="30"/>
    </row>
    <row r="529" ht="14.25" customHeight="1">
      <c r="U529" s="30"/>
      <c r="V529" s="30"/>
      <c r="W529" s="30"/>
    </row>
    <row r="530" ht="14.25" customHeight="1">
      <c r="U530" s="30"/>
      <c r="V530" s="30"/>
      <c r="W530" s="30"/>
    </row>
    <row r="531" ht="14.25" customHeight="1">
      <c r="U531" s="30"/>
      <c r="V531" s="30"/>
      <c r="W531" s="30"/>
    </row>
    <row r="532" ht="14.25" customHeight="1">
      <c r="U532" s="30"/>
      <c r="V532" s="30"/>
      <c r="W532" s="30"/>
    </row>
    <row r="533" ht="14.25" customHeight="1">
      <c r="U533" s="30"/>
      <c r="V533" s="30"/>
      <c r="W533" s="30"/>
    </row>
    <row r="534" ht="14.25" customHeight="1">
      <c r="U534" s="30"/>
      <c r="V534" s="30"/>
      <c r="W534" s="30"/>
    </row>
    <row r="535" ht="14.25" customHeight="1">
      <c r="U535" s="30"/>
      <c r="V535" s="30"/>
      <c r="W535" s="30"/>
    </row>
    <row r="536" ht="14.25" customHeight="1">
      <c r="U536" s="30"/>
      <c r="V536" s="30"/>
      <c r="W536" s="30"/>
    </row>
    <row r="537" ht="14.25" customHeight="1">
      <c r="U537" s="30"/>
      <c r="V537" s="30"/>
      <c r="W537" s="30"/>
    </row>
    <row r="538" ht="14.25" customHeight="1">
      <c r="U538" s="30"/>
      <c r="V538" s="30"/>
      <c r="W538" s="30"/>
    </row>
    <row r="539" ht="14.25" customHeight="1">
      <c r="U539" s="30"/>
      <c r="V539" s="30"/>
      <c r="W539" s="30"/>
    </row>
    <row r="540" ht="14.25" customHeight="1">
      <c r="U540" s="30"/>
      <c r="V540" s="30"/>
      <c r="W540" s="30"/>
    </row>
    <row r="541" ht="14.25" customHeight="1">
      <c r="U541" s="30"/>
      <c r="V541" s="30"/>
      <c r="W541" s="30"/>
    </row>
    <row r="542" ht="14.25" customHeight="1">
      <c r="U542" s="30"/>
      <c r="V542" s="30"/>
      <c r="W542" s="30"/>
    </row>
    <row r="543" ht="14.25" customHeight="1">
      <c r="U543" s="30"/>
      <c r="V543" s="30"/>
      <c r="W543" s="30"/>
    </row>
    <row r="544" ht="14.25" customHeight="1">
      <c r="U544" s="30"/>
      <c r="V544" s="30"/>
      <c r="W544" s="30"/>
    </row>
    <row r="545" ht="14.25" customHeight="1">
      <c r="U545" s="30"/>
      <c r="V545" s="30"/>
      <c r="W545" s="30"/>
    </row>
    <row r="546" ht="14.25" customHeight="1">
      <c r="U546" s="30"/>
      <c r="V546" s="30"/>
      <c r="W546" s="30"/>
    </row>
    <row r="547" ht="14.25" customHeight="1">
      <c r="U547" s="30"/>
      <c r="V547" s="30"/>
      <c r="W547" s="30"/>
    </row>
    <row r="548" ht="14.25" customHeight="1">
      <c r="U548" s="30"/>
      <c r="V548" s="30"/>
      <c r="W548" s="30"/>
    </row>
    <row r="549" ht="14.25" customHeight="1">
      <c r="U549" s="30"/>
      <c r="V549" s="30"/>
      <c r="W549" s="30"/>
    </row>
    <row r="550" ht="14.25" customHeight="1">
      <c r="U550" s="30"/>
      <c r="V550" s="30"/>
      <c r="W550" s="30"/>
    </row>
    <row r="551" ht="14.25" customHeight="1">
      <c r="U551" s="30"/>
      <c r="V551" s="30"/>
      <c r="W551" s="30"/>
    </row>
    <row r="552" ht="14.25" customHeight="1">
      <c r="U552" s="30"/>
      <c r="V552" s="30"/>
      <c r="W552" s="30"/>
    </row>
    <row r="553" ht="14.25" customHeight="1">
      <c r="U553" s="30"/>
      <c r="V553" s="30"/>
      <c r="W553" s="30"/>
    </row>
    <row r="554" ht="14.25" customHeight="1">
      <c r="U554" s="30"/>
      <c r="V554" s="30"/>
      <c r="W554" s="30"/>
    </row>
    <row r="555" ht="14.25" customHeight="1">
      <c r="U555" s="30"/>
      <c r="V555" s="30"/>
      <c r="W555" s="30"/>
    </row>
    <row r="556" ht="14.25" customHeight="1">
      <c r="U556" s="30"/>
      <c r="V556" s="30"/>
      <c r="W556" s="30"/>
    </row>
    <row r="557" ht="14.25" customHeight="1">
      <c r="U557" s="30"/>
      <c r="V557" s="30"/>
      <c r="W557" s="30"/>
    </row>
    <row r="558" ht="14.25" customHeight="1">
      <c r="U558" s="30"/>
      <c r="V558" s="30"/>
      <c r="W558" s="30"/>
    </row>
    <row r="559" ht="14.25" customHeight="1">
      <c r="U559" s="30"/>
      <c r="V559" s="30"/>
      <c r="W559" s="30"/>
    </row>
    <row r="560" ht="14.25" customHeight="1">
      <c r="U560" s="30"/>
      <c r="V560" s="30"/>
      <c r="W560" s="30"/>
    </row>
    <row r="561" ht="14.25" customHeight="1">
      <c r="U561" s="30"/>
      <c r="V561" s="30"/>
      <c r="W561" s="30"/>
    </row>
    <row r="562" ht="14.25" customHeight="1">
      <c r="U562" s="30"/>
      <c r="V562" s="30"/>
      <c r="W562" s="30"/>
    </row>
    <row r="563" ht="14.25" customHeight="1">
      <c r="U563" s="30"/>
      <c r="V563" s="30"/>
      <c r="W563" s="30"/>
    </row>
    <row r="564" ht="14.25" customHeight="1">
      <c r="U564" s="30"/>
      <c r="V564" s="30"/>
      <c r="W564" s="30"/>
    </row>
    <row r="565" ht="14.25" customHeight="1">
      <c r="U565" s="30"/>
      <c r="V565" s="30"/>
      <c r="W565" s="30"/>
    </row>
    <row r="566" ht="14.25" customHeight="1">
      <c r="U566" s="30"/>
      <c r="V566" s="30"/>
      <c r="W566" s="30"/>
    </row>
    <row r="567" ht="14.25" customHeight="1">
      <c r="U567" s="30"/>
      <c r="V567" s="30"/>
      <c r="W567" s="30"/>
    </row>
    <row r="568" ht="14.25" customHeight="1">
      <c r="U568" s="30"/>
      <c r="V568" s="30"/>
      <c r="W568" s="30"/>
    </row>
    <row r="569" ht="14.25" customHeight="1">
      <c r="U569" s="30"/>
      <c r="V569" s="30"/>
      <c r="W569" s="30"/>
    </row>
    <row r="570" ht="14.25" customHeight="1">
      <c r="U570" s="30"/>
      <c r="V570" s="30"/>
      <c r="W570" s="30"/>
    </row>
    <row r="571" ht="14.25" customHeight="1">
      <c r="U571" s="30"/>
      <c r="V571" s="30"/>
      <c r="W571" s="30"/>
    </row>
    <row r="572" ht="14.25" customHeight="1">
      <c r="U572" s="30"/>
      <c r="V572" s="30"/>
      <c r="W572" s="30"/>
    </row>
    <row r="573" ht="14.25" customHeight="1">
      <c r="U573" s="30"/>
      <c r="V573" s="30"/>
      <c r="W573" s="30"/>
    </row>
    <row r="574" ht="14.25" customHeight="1">
      <c r="U574" s="30"/>
      <c r="V574" s="30"/>
      <c r="W574" s="30"/>
    </row>
    <row r="575" ht="14.25" customHeight="1">
      <c r="U575" s="30"/>
      <c r="V575" s="30"/>
      <c r="W575" s="30"/>
    </row>
    <row r="576" ht="14.25" customHeight="1">
      <c r="U576" s="30"/>
      <c r="V576" s="30"/>
      <c r="W576" s="30"/>
    </row>
    <row r="577" ht="14.25" customHeight="1">
      <c r="U577" s="30"/>
      <c r="V577" s="30"/>
      <c r="W577" s="30"/>
    </row>
    <row r="578" ht="14.25" customHeight="1">
      <c r="U578" s="30"/>
      <c r="V578" s="30"/>
      <c r="W578" s="30"/>
    </row>
    <row r="579" ht="14.25" customHeight="1">
      <c r="U579" s="30"/>
      <c r="V579" s="30"/>
      <c r="W579" s="30"/>
    </row>
    <row r="580" ht="14.25" customHeight="1">
      <c r="U580" s="30"/>
      <c r="V580" s="30"/>
      <c r="W580" s="30"/>
    </row>
    <row r="581" ht="14.25" customHeight="1">
      <c r="U581" s="30"/>
      <c r="V581" s="30"/>
      <c r="W581" s="30"/>
    </row>
    <row r="582" ht="14.25" customHeight="1">
      <c r="U582" s="30"/>
      <c r="V582" s="30"/>
      <c r="W582" s="30"/>
    </row>
    <row r="583" ht="14.25" customHeight="1">
      <c r="U583" s="30"/>
      <c r="V583" s="30"/>
      <c r="W583" s="30"/>
    </row>
    <row r="584" ht="14.25" customHeight="1">
      <c r="U584" s="30"/>
      <c r="V584" s="30"/>
      <c r="W584" s="30"/>
    </row>
    <row r="585" ht="14.25" customHeight="1">
      <c r="U585" s="30"/>
      <c r="V585" s="30"/>
      <c r="W585" s="30"/>
    </row>
    <row r="586" ht="14.25" customHeight="1">
      <c r="U586" s="30"/>
      <c r="V586" s="30"/>
      <c r="W586" s="30"/>
    </row>
    <row r="587" ht="14.25" customHeight="1">
      <c r="U587" s="30"/>
      <c r="V587" s="30"/>
      <c r="W587" s="30"/>
    </row>
    <row r="588" ht="14.25" customHeight="1">
      <c r="U588" s="30"/>
      <c r="V588" s="30"/>
      <c r="W588" s="30"/>
    </row>
    <row r="589" ht="14.25" customHeight="1">
      <c r="U589" s="30"/>
      <c r="V589" s="30"/>
      <c r="W589" s="30"/>
    </row>
    <row r="590" ht="14.25" customHeight="1">
      <c r="U590" s="30"/>
      <c r="V590" s="30"/>
      <c r="W590" s="30"/>
    </row>
    <row r="591" ht="14.25" customHeight="1">
      <c r="U591" s="30"/>
      <c r="V591" s="30"/>
      <c r="W591" s="30"/>
    </row>
    <row r="592" ht="14.25" customHeight="1">
      <c r="U592" s="30"/>
      <c r="V592" s="30"/>
      <c r="W592" s="30"/>
    </row>
    <row r="593" ht="14.25" customHeight="1">
      <c r="U593" s="30"/>
      <c r="V593" s="30"/>
      <c r="W593" s="30"/>
    </row>
    <row r="594" ht="14.25" customHeight="1">
      <c r="U594" s="30"/>
      <c r="V594" s="30"/>
      <c r="W594" s="30"/>
    </row>
    <row r="595" ht="14.25" customHeight="1">
      <c r="U595" s="30"/>
      <c r="V595" s="30"/>
      <c r="W595" s="30"/>
    </row>
    <row r="596" ht="14.25" customHeight="1">
      <c r="U596" s="30"/>
      <c r="V596" s="30"/>
      <c r="W596" s="30"/>
    </row>
    <row r="597" ht="14.25" customHeight="1">
      <c r="U597" s="30"/>
      <c r="V597" s="30"/>
      <c r="W597" s="30"/>
    </row>
    <row r="598" ht="14.25" customHeight="1">
      <c r="U598" s="30"/>
      <c r="V598" s="30"/>
      <c r="W598" s="30"/>
    </row>
    <row r="599" ht="14.25" customHeight="1">
      <c r="U599" s="30"/>
      <c r="V599" s="30"/>
      <c r="W599" s="30"/>
    </row>
    <row r="600" ht="14.25" customHeight="1">
      <c r="U600" s="30"/>
      <c r="V600" s="30"/>
      <c r="W600" s="30"/>
    </row>
    <row r="601" ht="14.25" customHeight="1">
      <c r="U601" s="30"/>
      <c r="V601" s="30"/>
      <c r="W601" s="30"/>
    </row>
    <row r="602" ht="14.25" customHeight="1">
      <c r="U602" s="30"/>
      <c r="V602" s="30"/>
      <c r="W602" s="30"/>
    </row>
    <row r="603" ht="14.25" customHeight="1">
      <c r="U603" s="30"/>
      <c r="V603" s="30"/>
      <c r="W603" s="30"/>
    </row>
    <row r="604" ht="14.25" customHeight="1">
      <c r="U604" s="30"/>
      <c r="V604" s="30"/>
      <c r="W604" s="30"/>
    </row>
    <row r="605" ht="14.25" customHeight="1">
      <c r="U605" s="30"/>
      <c r="V605" s="30"/>
      <c r="W605" s="30"/>
    </row>
    <row r="606" ht="14.25" customHeight="1">
      <c r="U606" s="30"/>
      <c r="V606" s="30"/>
      <c r="W606" s="30"/>
    </row>
    <row r="607" ht="14.25" customHeight="1">
      <c r="U607" s="30"/>
      <c r="V607" s="30"/>
      <c r="W607" s="30"/>
    </row>
    <row r="608" ht="14.25" customHeight="1">
      <c r="U608" s="30"/>
      <c r="V608" s="30"/>
      <c r="W608" s="30"/>
    </row>
    <row r="609" ht="14.25" customHeight="1">
      <c r="U609" s="30"/>
      <c r="V609" s="30"/>
      <c r="W609" s="30"/>
    </row>
    <row r="610" ht="14.25" customHeight="1">
      <c r="U610" s="30"/>
      <c r="V610" s="30"/>
      <c r="W610" s="30"/>
    </row>
    <row r="611" ht="14.25" customHeight="1">
      <c r="U611" s="30"/>
      <c r="V611" s="30"/>
      <c r="W611" s="30"/>
    </row>
    <row r="612" ht="14.25" customHeight="1">
      <c r="U612" s="30"/>
      <c r="V612" s="30"/>
      <c r="W612" s="30"/>
    </row>
    <row r="613" ht="14.25" customHeight="1">
      <c r="U613" s="30"/>
      <c r="V613" s="30"/>
      <c r="W613" s="30"/>
    </row>
    <row r="614" ht="14.25" customHeight="1">
      <c r="U614" s="30"/>
      <c r="V614" s="30"/>
      <c r="W614" s="30"/>
    </row>
    <row r="615" ht="14.25" customHeight="1">
      <c r="U615" s="30"/>
      <c r="V615" s="30"/>
      <c r="W615" s="30"/>
    </row>
    <row r="616" ht="14.25" customHeight="1">
      <c r="U616" s="30"/>
      <c r="V616" s="30"/>
      <c r="W616" s="30"/>
    </row>
    <row r="617" ht="14.25" customHeight="1">
      <c r="U617" s="30"/>
      <c r="V617" s="30"/>
      <c r="W617" s="30"/>
    </row>
    <row r="618" ht="14.25" customHeight="1">
      <c r="U618" s="30"/>
      <c r="V618" s="30"/>
      <c r="W618" s="30"/>
    </row>
    <row r="619" ht="14.25" customHeight="1">
      <c r="U619" s="30"/>
      <c r="V619" s="30"/>
      <c r="W619" s="30"/>
    </row>
    <row r="620" ht="14.25" customHeight="1">
      <c r="U620" s="30"/>
      <c r="V620" s="30"/>
      <c r="W620" s="30"/>
    </row>
    <row r="621" ht="14.25" customHeight="1">
      <c r="U621" s="30"/>
      <c r="V621" s="30"/>
      <c r="W621" s="30"/>
    </row>
    <row r="622" ht="14.25" customHeight="1">
      <c r="U622" s="30"/>
      <c r="V622" s="30"/>
      <c r="W622" s="30"/>
    </row>
    <row r="623" ht="14.25" customHeight="1">
      <c r="U623" s="30"/>
      <c r="V623" s="30"/>
      <c r="W623" s="30"/>
    </row>
    <row r="624" ht="14.25" customHeight="1">
      <c r="U624" s="30"/>
      <c r="V624" s="30"/>
      <c r="W624" s="30"/>
    </row>
    <row r="625" ht="14.25" customHeight="1">
      <c r="U625" s="30"/>
      <c r="V625" s="30"/>
      <c r="W625" s="30"/>
    </row>
    <row r="626" ht="14.25" customHeight="1">
      <c r="U626" s="30"/>
      <c r="V626" s="30"/>
      <c r="W626" s="30"/>
    </row>
    <row r="627" ht="14.25" customHeight="1">
      <c r="U627" s="30"/>
      <c r="V627" s="30"/>
      <c r="W627" s="30"/>
    </row>
    <row r="628" ht="14.25" customHeight="1">
      <c r="U628" s="30"/>
      <c r="V628" s="30"/>
      <c r="W628" s="30"/>
    </row>
    <row r="629" ht="14.25" customHeight="1">
      <c r="U629" s="30"/>
      <c r="V629" s="30"/>
      <c r="W629" s="30"/>
    </row>
    <row r="630" ht="14.25" customHeight="1">
      <c r="U630" s="30"/>
      <c r="V630" s="30"/>
      <c r="W630" s="30"/>
    </row>
    <row r="631" ht="14.25" customHeight="1">
      <c r="U631" s="30"/>
      <c r="V631" s="30"/>
      <c r="W631" s="30"/>
    </row>
    <row r="632" ht="14.25" customHeight="1">
      <c r="U632" s="30"/>
      <c r="V632" s="30"/>
      <c r="W632" s="30"/>
    </row>
    <row r="633" ht="14.25" customHeight="1">
      <c r="U633" s="30"/>
      <c r="V633" s="30"/>
      <c r="W633" s="30"/>
    </row>
    <row r="634" ht="14.25" customHeight="1">
      <c r="U634" s="30"/>
      <c r="V634" s="30"/>
      <c r="W634" s="30"/>
    </row>
    <row r="635" ht="14.25" customHeight="1">
      <c r="U635" s="30"/>
      <c r="V635" s="30"/>
      <c r="W635" s="30"/>
    </row>
    <row r="636" ht="14.25" customHeight="1">
      <c r="U636" s="30"/>
      <c r="V636" s="30"/>
      <c r="W636" s="30"/>
    </row>
    <row r="637" ht="14.25" customHeight="1">
      <c r="U637" s="30"/>
      <c r="V637" s="30"/>
      <c r="W637" s="30"/>
    </row>
    <row r="638" ht="14.25" customHeight="1">
      <c r="U638" s="30"/>
      <c r="V638" s="30"/>
      <c r="W638" s="30"/>
    </row>
    <row r="639" ht="14.25" customHeight="1">
      <c r="U639" s="30"/>
      <c r="V639" s="30"/>
      <c r="W639" s="30"/>
    </row>
    <row r="640" ht="14.25" customHeight="1">
      <c r="U640" s="30"/>
      <c r="V640" s="30"/>
      <c r="W640" s="30"/>
    </row>
    <row r="641" ht="14.25" customHeight="1">
      <c r="U641" s="30"/>
      <c r="V641" s="30"/>
      <c r="W641" s="30"/>
    </row>
    <row r="642" ht="14.25" customHeight="1">
      <c r="U642" s="30"/>
      <c r="V642" s="30"/>
      <c r="W642" s="30"/>
    </row>
    <row r="643" ht="14.25" customHeight="1">
      <c r="U643" s="30"/>
      <c r="V643" s="30"/>
      <c r="W643" s="30"/>
    </row>
    <row r="644" ht="14.25" customHeight="1">
      <c r="U644" s="30"/>
      <c r="V644" s="30"/>
      <c r="W644" s="30"/>
    </row>
    <row r="645" ht="14.25" customHeight="1">
      <c r="U645" s="30"/>
      <c r="V645" s="30"/>
      <c r="W645" s="30"/>
    </row>
    <row r="646" ht="14.25" customHeight="1">
      <c r="U646" s="30"/>
      <c r="V646" s="30"/>
      <c r="W646" s="30"/>
    </row>
    <row r="647" ht="14.25" customHeight="1">
      <c r="U647" s="30"/>
      <c r="V647" s="30"/>
      <c r="W647" s="30"/>
    </row>
    <row r="648" ht="14.25" customHeight="1">
      <c r="U648" s="30"/>
      <c r="V648" s="30"/>
      <c r="W648" s="30"/>
    </row>
    <row r="649" ht="14.25" customHeight="1">
      <c r="U649" s="30"/>
      <c r="V649" s="30"/>
      <c r="W649" s="30"/>
    </row>
    <row r="650" ht="14.25" customHeight="1">
      <c r="U650" s="30"/>
      <c r="V650" s="30"/>
      <c r="W650" s="30"/>
    </row>
    <row r="651" ht="14.25" customHeight="1">
      <c r="U651" s="30"/>
      <c r="V651" s="30"/>
      <c r="W651" s="30"/>
    </row>
    <row r="652" ht="14.25" customHeight="1">
      <c r="U652" s="30"/>
      <c r="V652" s="30"/>
      <c r="W652" s="30"/>
    </row>
    <row r="653" ht="14.25" customHeight="1">
      <c r="U653" s="30"/>
      <c r="V653" s="30"/>
      <c r="W653" s="30"/>
    </row>
    <row r="654" ht="14.25" customHeight="1">
      <c r="U654" s="30"/>
      <c r="V654" s="30"/>
      <c r="W654" s="30"/>
    </row>
    <row r="655" ht="14.25" customHeight="1">
      <c r="U655" s="30"/>
      <c r="V655" s="30"/>
      <c r="W655" s="30"/>
    </row>
    <row r="656" ht="14.25" customHeight="1">
      <c r="U656" s="30"/>
      <c r="V656" s="30"/>
      <c r="W656" s="30"/>
    </row>
    <row r="657" ht="14.25" customHeight="1">
      <c r="U657" s="30"/>
      <c r="V657" s="30"/>
      <c r="W657" s="30"/>
    </row>
    <row r="658" ht="14.25" customHeight="1">
      <c r="U658" s="30"/>
      <c r="V658" s="30"/>
      <c r="W658" s="30"/>
    </row>
    <row r="659" ht="14.25" customHeight="1">
      <c r="U659" s="30"/>
      <c r="V659" s="30"/>
      <c r="W659" s="30"/>
    </row>
    <row r="660" ht="14.25" customHeight="1">
      <c r="U660" s="30"/>
      <c r="V660" s="30"/>
      <c r="W660" s="30"/>
    </row>
    <row r="661" ht="14.25" customHeight="1">
      <c r="U661" s="30"/>
      <c r="V661" s="30"/>
      <c r="W661" s="30"/>
    </row>
    <row r="662" ht="14.25" customHeight="1">
      <c r="U662" s="30"/>
      <c r="V662" s="30"/>
      <c r="W662" s="30"/>
    </row>
    <row r="663" ht="14.25" customHeight="1">
      <c r="U663" s="30"/>
      <c r="V663" s="30"/>
      <c r="W663" s="30"/>
    </row>
    <row r="664" ht="14.25" customHeight="1">
      <c r="U664" s="30"/>
      <c r="V664" s="30"/>
      <c r="W664" s="30"/>
    </row>
    <row r="665" ht="14.25" customHeight="1">
      <c r="U665" s="30"/>
      <c r="V665" s="30"/>
      <c r="W665" s="30"/>
    </row>
    <row r="666" ht="14.25" customHeight="1">
      <c r="U666" s="30"/>
      <c r="V666" s="30"/>
      <c r="W666" s="30"/>
    </row>
    <row r="667" ht="14.25" customHeight="1">
      <c r="U667" s="30"/>
      <c r="V667" s="30"/>
      <c r="W667" s="30"/>
    </row>
    <row r="668" ht="14.25" customHeight="1">
      <c r="U668" s="30"/>
      <c r="V668" s="30"/>
      <c r="W668" s="30"/>
    </row>
    <row r="669" ht="14.25" customHeight="1">
      <c r="U669" s="30"/>
      <c r="V669" s="30"/>
      <c r="W669" s="30"/>
    </row>
    <row r="670" ht="14.25" customHeight="1">
      <c r="U670" s="30"/>
      <c r="V670" s="30"/>
      <c r="W670" s="30"/>
    </row>
    <row r="671" ht="14.25" customHeight="1">
      <c r="U671" s="30"/>
      <c r="V671" s="30"/>
      <c r="W671" s="30"/>
    </row>
    <row r="672" ht="14.25" customHeight="1">
      <c r="U672" s="30"/>
      <c r="V672" s="30"/>
      <c r="W672" s="30"/>
    </row>
    <row r="673" ht="14.25" customHeight="1">
      <c r="U673" s="30"/>
      <c r="V673" s="30"/>
      <c r="W673" s="30"/>
    </row>
    <row r="674" ht="14.25" customHeight="1">
      <c r="U674" s="30"/>
      <c r="V674" s="30"/>
      <c r="W674" s="30"/>
    </row>
    <row r="675" ht="14.25" customHeight="1">
      <c r="U675" s="30"/>
      <c r="V675" s="30"/>
      <c r="W675" s="30"/>
    </row>
    <row r="676" ht="14.25" customHeight="1">
      <c r="U676" s="30"/>
      <c r="V676" s="30"/>
      <c r="W676" s="30"/>
    </row>
    <row r="677" ht="14.25" customHeight="1">
      <c r="U677" s="30"/>
      <c r="V677" s="30"/>
      <c r="W677" s="30"/>
    </row>
    <row r="678" ht="14.25" customHeight="1">
      <c r="U678" s="30"/>
      <c r="V678" s="30"/>
      <c r="W678" s="30"/>
    </row>
    <row r="679" ht="14.25" customHeight="1">
      <c r="U679" s="30"/>
      <c r="V679" s="30"/>
      <c r="W679" s="30"/>
    </row>
    <row r="680" ht="14.25" customHeight="1">
      <c r="U680" s="30"/>
      <c r="V680" s="30"/>
      <c r="W680" s="30"/>
    </row>
    <row r="681" ht="14.25" customHeight="1">
      <c r="U681" s="30"/>
      <c r="V681" s="30"/>
      <c r="W681" s="30"/>
    </row>
    <row r="682" ht="14.25" customHeight="1">
      <c r="U682" s="30"/>
      <c r="V682" s="30"/>
      <c r="W682" s="30"/>
    </row>
    <row r="683" ht="14.25" customHeight="1">
      <c r="U683" s="30"/>
      <c r="V683" s="30"/>
      <c r="W683" s="30"/>
    </row>
    <row r="684" ht="14.25" customHeight="1">
      <c r="U684" s="30"/>
      <c r="V684" s="30"/>
      <c r="W684" s="30"/>
    </row>
    <row r="685" ht="14.25" customHeight="1">
      <c r="U685" s="30"/>
      <c r="V685" s="30"/>
      <c r="W685" s="30"/>
    </row>
    <row r="686" ht="14.25" customHeight="1">
      <c r="U686" s="30"/>
      <c r="V686" s="30"/>
      <c r="W686" s="30"/>
    </row>
    <row r="687" ht="14.25" customHeight="1">
      <c r="U687" s="30"/>
      <c r="V687" s="30"/>
      <c r="W687" s="30"/>
    </row>
    <row r="688" ht="14.25" customHeight="1">
      <c r="U688" s="30"/>
      <c r="V688" s="30"/>
      <c r="W688" s="30"/>
    </row>
    <row r="689" ht="14.25" customHeight="1">
      <c r="U689" s="30"/>
      <c r="V689" s="30"/>
      <c r="W689" s="30"/>
    </row>
    <row r="690" ht="14.25" customHeight="1">
      <c r="U690" s="30"/>
      <c r="V690" s="30"/>
      <c r="W690" s="30"/>
    </row>
    <row r="691" ht="14.25" customHeight="1">
      <c r="U691" s="30"/>
      <c r="V691" s="30"/>
      <c r="W691" s="30"/>
    </row>
    <row r="692" ht="14.25" customHeight="1">
      <c r="U692" s="30"/>
      <c r="V692" s="30"/>
      <c r="W692" s="30"/>
    </row>
    <row r="693" ht="14.25" customHeight="1">
      <c r="U693" s="30"/>
      <c r="V693" s="30"/>
      <c r="W693" s="30"/>
    </row>
    <row r="694" ht="14.25" customHeight="1">
      <c r="U694" s="30"/>
      <c r="V694" s="30"/>
      <c r="W694" s="30"/>
    </row>
    <row r="695" ht="14.25" customHeight="1">
      <c r="U695" s="30"/>
      <c r="V695" s="30"/>
      <c r="W695" s="30"/>
    </row>
    <row r="696" ht="14.25" customHeight="1">
      <c r="U696" s="30"/>
      <c r="V696" s="30"/>
      <c r="W696" s="30"/>
    </row>
    <row r="697" ht="14.25" customHeight="1">
      <c r="U697" s="30"/>
      <c r="V697" s="30"/>
      <c r="W697" s="30"/>
    </row>
    <row r="698" ht="14.25" customHeight="1">
      <c r="U698" s="30"/>
      <c r="V698" s="30"/>
      <c r="W698" s="30"/>
    </row>
    <row r="699" ht="14.25" customHeight="1">
      <c r="U699" s="30"/>
      <c r="V699" s="30"/>
      <c r="W699" s="30"/>
    </row>
    <row r="700" ht="14.25" customHeight="1">
      <c r="U700" s="30"/>
      <c r="V700" s="30"/>
      <c r="W700" s="30"/>
    </row>
    <row r="701" ht="14.25" customHeight="1">
      <c r="U701" s="30"/>
      <c r="V701" s="30"/>
      <c r="W701" s="30"/>
    </row>
    <row r="702" ht="14.25" customHeight="1">
      <c r="U702" s="30"/>
      <c r="V702" s="30"/>
      <c r="W702" s="30"/>
    </row>
    <row r="703" ht="14.25" customHeight="1">
      <c r="U703" s="30"/>
      <c r="V703" s="30"/>
      <c r="W703" s="30"/>
    </row>
    <row r="704" ht="14.25" customHeight="1">
      <c r="U704" s="30"/>
      <c r="V704" s="30"/>
      <c r="W704" s="30"/>
    </row>
    <row r="705" ht="14.25" customHeight="1">
      <c r="U705" s="30"/>
      <c r="V705" s="30"/>
      <c r="W705" s="30"/>
    </row>
    <row r="706" ht="14.25" customHeight="1">
      <c r="U706" s="30"/>
      <c r="V706" s="30"/>
      <c r="W706" s="30"/>
    </row>
    <row r="707" ht="14.25" customHeight="1">
      <c r="U707" s="30"/>
      <c r="V707" s="30"/>
      <c r="W707" s="30"/>
    </row>
    <row r="708" ht="14.25" customHeight="1">
      <c r="U708" s="30"/>
      <c r="V708" s="30"/>
      <c r="W708" s="30"/>
    </row>
    <row r="709" ht="14.25" customHeight="1">
      <c r="U709" s="30"/>
      <c r="V709" s="30"/>
      <c r="W709" s="30"/>
    </row>
    <row r="710" ht="14.25" customHeight="1">
      <c r="U710" s="30"/>
      <c r="V710" s="30"/>
      <c r="W710" s="30"/>
    </row>
    <row r="711" ht="14.25" customHeight="1">
      <c r="U711" s="30"/>
      <c r="V711" s="30"/>
      <c r="W711" s="30"/>
    </row>
    <row r="712" ht="14.25" customHeight="1">
      <c r="U712" s="30"/>
      <c r="V712" s="30"/>
      <c r="W712" s="30"/>
    </row>
    <row r="713" ht="14.25" customHeight="1">
      <c r="U713" s="30"/>
      <c r="V713" s="30"/>
      <c r="W713" s="30"/>
    </row>
    <row r="714" ht="14.25" customHeight="1">
      <c r="U714" s="30"/>
      <c r="V714" s="30"/>
      <c r="W714" s="30"/>
    </row>
    <row r="715" ht="14.25" customHeight="1">
      <c r="U715" s="30"/>
      <c r="V715" s="30"/>
      <c r="W715" s="30"/>
    </row>
    <row r="716" ht="14.25" customHeight="1">
      <c r="U716" s="30"/>
      <c r="V716" s="30"/>
      <c r="W716" s="30"/>
    </row>
    <row r="717" ht="14.25" customHeight="1">
      <c r="U717" s="30"/>
      <c r="V717" s="30"/>
      <c r="W717" s="30"/>
    </row>
    <row r="718" ht="14.25" customHeight="1">
      <c r="U718" s="30"/>
      <c r="V718" s="30"/>
      <c r="W718" s="30"/>
    </row>
    <row r="719" ht="14.25" customHeight="1">
      <c r="U719" s="30"/>
      <c r="V719" s="30"/>
      <c r="W719" s="30"/>
    </row>
    <row r="720" ht="14.25" customHeight="1">
      <c r="U720" s="30"/>
      <c r="V720" s="30"/>
      <c r="W720" s="30"/>
    </row>
    <row r="721" ht="14.25" customHeight="1">
      <c r="U721" s="30"/>
      <c r="V721" s="30"/>
      <c r="W721" s="30"/>
    </row>
    <row r="722" ht="14.25" customHeight="1">
      <c r="U722" s="30"/>
      <c r="V722" s="30"/>
      <c r="W722" s="30"/>
    </row>
    <row r="723" ht="14.25" customHeight="1">
      <c r="U723" s="30"/>
      <c r="V723" s="30"/>
      <c r="W723" s="30"/>
    </row>
    <row r="724" ht="14.25" customHeight="1">
      <c r="U724" s="30"/>
      <c r="V724" s="30"/>
      <c r="W724" s="30"/>
    </row>
    <row r="725" ht="14.25" customHeight="1">
      <c r="U725" s="30"/>
      <c r="V725" s="30"/>
      <c r="W725" s="30"/>
    </row>
    <row r="726" ht="14.25" customHeight="1">
      <c r="U726" s="30"/>
      <c r="V726" s="30"/>
      <c r="W726" s="30"/>
    </row>
    <row r="727" ht="14.25" customHeight="1">
      <c r="U727" s="30"/>
      <c r="V727" s="30"/>
      <c r="W727" s="30"/>
    </row>
    <row r="728" ht="14.25" customHeight="1">
      <c r="U728" s="30"/>
      <c r="V728" s="30"/>
      <c r="W728" s="30"/>
    </row>
    <row r="729" ht="14.25" customHeight="1">
      <c r="U729" s="30"/>
      <c r="V729" s="30"/>
      <c r="W729" s="30"/>
    </row>
    <row r="730" ht="14.25" customHeight="1">
      <c r="U730" s="30"/>
      <c r="V730" s="30"/>
      <c r="W730" s="30"/>
    </row>
    <row r="731" ht="14.25" customHeight="1">
      <c r="U731" s="30"/>
      <c r="V731" s="30"/>
      <c r="W731" s="30"/>
    </row>
    <row r="732" ht="14.25" customHeight="1">
      <c r="U732" s="30"/>
      <c r="V732" s="30"/>
      <c r="W732" s="30"/>
    </row>
    <row r="733" ht="14.25" customHeight="1">
      <c r="U733" s="30"/>
      <c r="V733" s="30"/>
      <c r="W733" s="30"/>
    </row>
    <row r="734" ht="14.25" customHeight="1">
      <c r="U734" s="30"/>
      <c r="V734" s="30"/>
      <c r="W734" s="30"/>
    </row>
    <row r="735" ht="14.25" customHeight="1">
      <c r="U735" s="30"/>
      <c r="V735" s="30"/>
      <c r="W735" s="30"/>
    </row>
    <row r="736" ht="14.25" customHeight="1">
      <c r="U736" s="30"/>
      <c r="V736" s="30"/>
      <c r="W736" s="30"/>
    </row>
    <row r="737" ht="14.25" customHeight="1">
      <c r="U737" s="30"/>
      <c r="V737" s="30"/>
      <c r="W737" s="30"/>
    </row>
    <row r="738" ht="14.25" customHeight="1">
      <c r="U738" s="30"/>
      <c r="V738" s="30"/>
      <c r="W738" s="30"/>
    </row>
    <row r="739" ht="14.25" customHeight="1">
      <c r="U739" s="30"/>
      <c r="V739" s="30"/>
      <c r="W739" s="30"/>
    </row>
    <row r="740" ht="14.25" customHeight="1">
      <c r="U740" s="30"/>
      <c r="V740" s="30"/>
      <c r="W740" s="30"/>
    </row>
    <row r="741" ht="14.25" customHeight="1">
      <c r="U741" s="30"/>
      <c r="V741" s="30"/>
      <c r="W741" s="30"/>
    </row>
    <row r="742" ht="14.25" customHeight="1">
      <c r="U742" s="30"/>
      <c r="V742" s="30"/>
      <c r="W742" s="30"/>
    </row>
    <row r="743" ht="14.25" customHeight="1">
      <c r="U743" s="30"/>
      <c r="V743" s="30"/>
      <c r="W743" s="30"/>
    </row>
    <row r="744" ht="14.25" customHeight="1">
      <c r="U744" s="30"/>
      <c r="V744" s="30"/>
      <c r="W744" s="30"/>
    </row>
    <row r="745" ht="14.25" customHeight="1">
      <c r="U745" s="30"/>
      <c r="V745" s="30"/>
      <c r="W745" s="30"/>
    </row>
    <row r="746" ht="14.25" customHeight="1">
      <c r="U746" s="30"/>
      <c r="V746" s="30"/>
      <c r="W746" s="30"/>
    </row>
    <row r="747" ht="14.25" customHeight="1">
      <c r="U747" s="30"/>
      <c r="V747" s="30"/>
      <c r="W747" s="30"/>
    </row>
    <row r="748" ht="14.25" customHeight="1">
      <c r="U748" s="30"/>
      <c r="V748" s="30"/>
      <c r="W748" s="30"/>
    </row>
    <row r="749" ht="14.25" customHeight="1">
      <c r="U749" s="30"/>
      <c r="V749" s="30"/>
      <c r="W749" s="30"/>
    </row>
    <row r="750" ht="14.25" customHeight="1">
      <c r="U750" s="30"/>
      <c r="V750" s="30"/>
      <c r="W750" s="30"/>
    </row>
    <row r="751" ht="14.25" customHeight="1">
      <c r="U751" s="30"/>
      <c r="V751" s="30"/>
      <c r="W751" s="30"/>
    </row>
    <row r="752" ht="14.25" customHeight="1">
      <c r="U752" s="30"/>
      <c r="V752" s="30"/>
      <c r="W752" s="30"/>
    </row>
    <row r="753" ht="14.25" customHeight="1">
      <c r="U753" s="30"/>
      <c r="V753" s="30"/>
      <c r="W753" s="30"/>
    </row>
    <row r="754" ht="14.25" customHeight="1">
      <c r="U754" s="30"/>
      <c r="V754" s="30"/>
      <c r="W754" s="30"/>
    </row>
    <row r="755" ht="14.25" customHeight="1">
      <c r="U755" s="30"/>
      <c r="V755" s="30"/>
      <c r="W755" s="30"/>
    </row>
    <row r="756" ht="14.25" customHeight="1">
      <c r="U756" s="30"/>
      <c r="V756" s="30"/>
      <c r="W756" s="30"/>
    </row>
    <row r="757" ht="14.25" customHeight="1">
      <c r="U757" s="30"/>
      <c r="V757" s="30"/>
      <c r="W757" s="30"/>
    </row>
    <row r="758" ht="14.25" customHeight="1">
      <c r="U758" s="30"/>
      <c r="V758" s="30"/>
      <c r="W758" s="30"/>
    </row>
    <row r="759" ht="14.25" customHeight="1">
      <c r="U759" s="30"/>
      <c r="V759" s="30"/>
      <c r="W759" s="30"/>
    </row>
    <row r="760" ht="14.25" customHeight="1">
      <c r="U760" s="30"/>
      <c r="V760" s="30"/>
      <c r="W760" s="30"/>
    </row>
    <row r="761" ht="14.25" customHeight="1">
      <c r="U761" s="30"/>
      <c r="V761" s="30"/>
      <c r="W761" s="30"/>
    </row>
    <row r="762" ht="14.25" customHeight="1">
      <c r="U762" s="30"/>
      <c r="V762" s="30"/>
      <c r="W762" s="30"/>
    </row>
    <row r="763" ht="14.25" customHeight="1">
      <c r="U763" s="30"/>
      <c r="V763" s="30"/>
      <c r="W763" s="30"/>
    </row>
    <row r="764" ht="14.25" customHeight="1">
      <c r="U764" s="30"/>
      <c r="V764" s="30"/>
      <c r="W764" s="30"/>
    </row>
    <row r="765" ht="14.25" customHeight="1">
      <c r="U765" s="30"/>
      <c r="V765" s="30"/>
      <c r="W765" s="30"/>
    </row>
    <row r="766" ht="14.25" customHeight="1">
      <c r="U766" s="30"/>
      <c r="V766" s="30"/>
      <c r="W766" s="30"/>
    </row>
    <row r="767" ht="14.25" customHeight="1">
      <c r="U767" s="30"/>
      <c r="V767" s="30"/>
      <c r="W767" s="30"/>
    </row>
    <row r="768" ht="14.25" customHeight="1">
      <c r="U768" s="30"/>
      <c r="V768" s="30"/>
      <c r="W768" s="30"/>
    </row>
    <row r="769" ht="14.25" customHeight="1">
      <c r="U769" s="30"/>
      <c r="V769" s="30"/>
      <c r="W769" s="30"/>
    </row>
    <row r="770" ht="14.25" customHeight="1">
      <c r="U770" s="30"/>
      <c r="V770" s="30"/>
      <c r="W770" s="30"/>
    </row>
    <row r="771" ht="14.25" customHeight="1">
      <c r="U771" s="30"/>
      <c r="V771" s="30"/>
      <c r="W771" s="30"/>
    </row>
    <row r="772" ht="14.25" customHeight="1">
      <c r="U772" s="30"/>
      <c r="V772" s="30"/>
      <c r="W772" s="30"/>
    </row>
    <row r="773" ht="14.25" customHeight="1">
      <c r="U773" s="30"/>
      <c r="V773" s="30"/>
      <c r="W773" s="30"/>
    </row>
    <row r="774" ht="14.25" customHeight="1">
      <c r="U774" s="30"/>
      <c r="V774" s="30"/>
      <c r="W774" s="30"/>
    </row>
    <row r="775" ht="14.25" customHeight="1">
      <c r="U775" s="30"/>
      <c r="V775" s="30"/>
      <c r="W775" s="30"/>
    </row>
    <row r="776" ht="14.25" customHeight="1">
      <c r="U776" s="30"/>
      <c r="V776" s="30"/>
      <c r="W776" s="30"/>
    </row>
    <row r="777" ht="14.25" customHeight="1">
      <c r="U777" s="30"/>
      <c r="V777" s="30"/>
      <c r="W777" s="30"/>
    </row>
    <row r="778" ht="14.25" customHeight="1">
      <c r="U778" s="30"/>
      <c r="V778" s="30"/>
      <c r="W778" s="30"/>
    </row>
    <row r="779" ht="14.25" customHeight="1">
      <c r="U779" s="30"/>
      <c r="V779" s="30"/>
      <c r="W779" s="30"/>
    </row>
    <row r="780" ht="14.25" customHeight="1">
      <c r="U780" s="30"/>
      <c r="V780" s="30"/>
      <c r="W780" s="30"/>
    </row>
    <row r="781" ht="14.25" customHeight="1">
      <c r="U781" s="30"/>
      <c r="V781" s="30"/>
      <c r="W781" s="30"/>
    </row>
    <row r="782" ht="14.25" customHeight="1">
      <c r="U782" s="30"/>
      <c r="V782" s="30"/>
      <c r="W782" s="30"/>
    </row>
    <row r="783" ht="14.25" customHeight="1">
      <c r="U783" s="30"/>
      <c r="V783" s="30"/>
      <c r="W783" s="30"/>
    </row>
    <row r="784" ht="14.25" customHeight="1">
      <c r="U784" s="30"/>
      <c r="V784" s="30"/>
      <c r="W784" s="30"/>
    </row>
    <row r="785" ht="14.25" customHeight="1">
      <c r="U785" s="30"/>
      <c r="V785" s="30"/>
      <c r="W785" s="30"/>
    </row>
    <row r="786" ht="14.25" customHeight="1">
      <c r="U786" s="30"/>
      <c r="V786" s="30"/>
      <c r="W786" s="30"/>
    </row>
    <row r="787" ht="14.25" customHeight="1">
      <c r="U787" s="30"/>
      <c r="V787" s="30"/>
      <c r="W787" s="30"/>
    </row>
    <row r="788" ht="14.25" customHeight="1">
      <c r="U788" s="30"/>
      <c r="V788" s="30"/>
      <c r="W788" s="30"/>
    </row>
    <row r="789" ht="14.25" customHeight="1">
      <c r="U789" s="30"/>
      <c r="V789" s="30"/>
      <c r="W789" s="30"/>
    </row>
    <row r="790" ht="14.25" customHeight="1">
      <c r="U790" s="30"/>
      <c r="V790" s="30"/>
      <c r="W790" s="30"/>
    </row>
    <row r="791" ht="14.25" customHeight="1">
      <c r="U791" s="30"/>
      <c r="V791" s="30"/>
      <c r="W791" s="30"/>
    </row>
    <row r="792" ht="14.25" customHeight="1">
      <c r="U792" s="30"/>
      <c r="V792" s="30"/>
      <c r="W792" s="30"/>
    </row>
    <row r="793" ht="14.25" customHeight="1">
      <c r="U793" s="30"/>
      <c r="V793" s="30"/>
      <c r="W793" s="30"/>
    </row>
    <row r="794" ht="14.25" customHeight="1">
      <c r="U794" s="30"/>
      <c r="V794" s="30"/>
      <c r="W794" s="30"/>
    </row>
    <row r="795" ht="14.25" customHeight="1">
      <c r="U795" s="30"/>
      <c r="V795" s="30"/>
      <c r="W795" s="30"/>
    </row>
    <row r="796" ht="14.25" customHeight="1">
      <c r="U796" s="30"/>
      <c r="V796" s="30"/>
      <c r="W796" s="30"/>
    </row>
    <row r="797" ht="14.25" customHeight="1">
      <c r="U797" s="30"/>
      <c r="V797" s="30"/>
      <c r="W797" s="30"/>
    </row>
    <row r="798" ht="14.25" customHeight="1">
      <c r="U798" s="30"/>
      <c r="V798" s="30"/>
      <c r="W798" s="30"/>
    </row>
    <row r="799" ht="14.25" customHeight="1">
      <c r="U799" s="30"/>
      <c r="V799" s="30"/>
      <c r="W799" s="30"/>
    </row>
    <row r="800" ht="14.25" customHeight="1">
      <c r="U800" s="30"/>
      <c r="V800" s="30"/>
      <c r="W800" s="30"/>
    </row>
    <row r="801" ht="14.25" customHeight="1">
      <c r="U801" s="30"/>
      <c r="V801" s="30"/>
      <c r="W801" s="30"/>
    </row>
    <row r="802" ht="14.25" customHeight="1">
      <c r="U802" s="30"/>
      <c r="V802" s="30"/>
      <c r="W802" s="30"/>
    </row>
    <row r="803" ht="14.25" customHeight="1">
      <c r="U803" s="30"/>
      <c r="V803" s="30"/>
      <c r="W803" s="30"/>
    </row>
    <row r="804" ht="14.25" customHeight="1">
      <c r="U804" s="30"/>
      <c r="V804" s="30"/>
      <c r="W804" s="30"/>
    </row>
    <row r="805" ht="14.25" customHeight="1">
      <c r="U805" s="30"/>
      <c r="V805" s="30"/>
      <c r="W805" s="30"/>
    </row>
    <row r="806" ht="14.25" customHeight="1">
      <c r="U806" s="30"/>
      <c r="V806" s="30"/>
      <c r="W806" s="30"/>
    </row>
    <row r="807" ht="14.25" customHeight="1">
      <c r="U807" s="30"/>
      <c r="V807" s="30"/>
      <c r="W807" s="30"/>
    </row>
    <row r="808" ht="14.25" customHeight="1">
      <c r="U808" s="30"/>
      <c r="V808" s="30"/>
      <c r="W808" s="30"/>
    </row>
    <row r="809" ht="14.25" customHeight="1">
      <c r="U809" s="30"/>
      <c r="V809" s="30"/>
      <c r="W809" s="30"/>
    </row>
    <row r="810" ht="14.25" customHeight="1">
      <c r="U810" s="30"/>
      <c r="V810" s="30"/>
      <c r="W810" s="30"/>
    </row>
    <row r="811" ht="14.25" customHeight="1">
      <c r="U811" s="30"/>
      <c r="V811" s="30"/>
      <c r="W811" s="30"/>
    </row>
    <row r="812" ht="14.25" customHeight="1">
      <c r="U812" s="30"/>
      <c r="V812" s="30"/>
      <c r="W812" s="30"/>
    </row>
    <row r="813" ht="14.25" customHeight="1">
      <c r="U813" s="30"/>
      <c r="V813" s="30"/>
      <c r="W813" s="30"/>
    </row>
    <row r="814" ht="14.25" customHeight="1">
      <c r="U814" s="30"/>
      <c r="V814" s="30"/>
      <c r="W814" s="30"/>
    </row>
    <row r="815" ht="14.25" customHeight="1">
      <c r="U815" s="30"/>
      <c r="V815" s="30"/>
      <c r="W815" s="30"/>
    </row>
    <row r="816" ht="14.25" customHeight="1">
      <c r="U816" s="30"/>
      <c r="V816" s="30"/>
      <c r="W816" s="30"/>
    </row>
    <row r="817" ht="14.25" customHeight="1">
      <c r="U817" s="30"/>
      <c r="V817" s="30"/>
      <c r="W817" s="30"/>
    </row>
    <row r="818" ht="14.25" customHeight="1">
      <c r="U818" s="30"/>
      <c r="V818" s="30"/>
      <c r="W818" s="30"/>
    </row>
    <row r="819" ht="14.25" customHeight="1">
      <c r="U819" s="30"/>
      <c r="V819" s="30"/>
      <c r="W819" s="30"/>
    </row>
    <row r="820" ht="14.25" customHeight="1">
      <c r="U820" s="30"/>
      <c r="V820" s="30"/>
      <c r="W820" s="30"/>
    </row>
    <row r="821" ht="14.25" customHeight="1">
      <c r="U821" s="30"/>
      <c r="V821" s="30"/>
      <c r="W821" s="30"/>
    </row>
    <row r="822" ht="14.25" customHeight="1">
      <c r="U822" s="30"/>
      <c r="V822" s="30"/>
      <c r="W822" s="30"/>
    </row>
    <row r="823" ht="14.25" customHeight="1">
      <c r="U823" s="30"/>
      <c r="V823" s="30"/>
      <c r="W823" s="30"/>
    </row>
    <row r="824" ht="14.25" customHeight="1">
      <c r="U824" s="30"/>
      <c r="V824" s="30"/>
      <c r="W824" s="30"/>
    </row>
    <row r="825" ht="14.25" customHeight="1">
      <c r="U825" s="30"/>
      <c r="V825" s="30"/>
      <c r="W825" s="30"/>
    </row>
    <row r="826" ht="14.25" customHeight="1">
      <c r="U826" s="30"/>
      <c r="V826" s="30"/>
      <c r="W826" s="30"/>
    </row>
    <row r="827" ht="14.25" customHeight="1">
      <c r="U827" s="30"/>
      <c r="V827" s="30"/>
      <c r="W827" s="30"/>
    </row>
    <row r="828" ht="14.25" customHeight="1">
      <c r="U828" s="30"/>
      <c r="V828" s="30"/>
      <c r="W828" s="30"/>
    </row>
    <row r="829" ht="14.25" customHeight="1">
      <c r="U829" s="30"/>
      <c r="V829" s="30"/>
      <c r="W829" s="30"/>
    </row>
    <row r="830" ht="14.25" customHeight="1">
      <c r="U830" s="30"/>
      <c r="V830" s="30"/>
      <c r="W830" s="30"/>
    </row>
    <row r="831" ht="14.25" customHeight="1">
      <c r="U831" s="30"/>
      <c r="V831" s="30"/>
      <c r="W831" s="30"/>
    </row>
    <row r="832" ht="14.25" customHeight="1">
      <c r="U832" s="30"/>
      <c r="V832" s="30"/>
      <c r="W832" s="30"/>
    </row>
    <row r="833" ht="14.25" customHeight="1">
      <c r="U833" s="30"/>
      <c r="V833" s="30"/>
      <c r="W833" s="30"/>
    </row>
    <row r="834" ht="14.25" customHeight="1">
      <c r="U834" s="30"/>
      <c r="V834" s="30"/>
      <c r="W834" s="30"/>
    </row>
    <row r="835" ht="14.25" customHeight="1">
      <c r="U835" s="30"/>
      <c r="V835" s="30"/>
      <c r="W835" s="30"/>
    </row>
    <row r="836" ht="14.25" customHeight="1">
      <c r="U836" s="30"/>
      <c r="V836" s="30"/>
      <c r="W836" s="30"/>
    </row>
    <row r="837" ht="14.25" customHeight="1">
      <c r="U837" s="30"/>
      <c r="V837" s="30"/>
      <c r="W837" s="30"/>
    </row>
    <row r="838" ht="14.25" customHeight="1">
      <c r="U838" s="30"/>
      <c r="V838" s="30"/>
      <c r="W838" s="30"/>
    </row>
    <row r="839" ht="14.25" customHeight="1">
      <c r="U839" s="30"/>
      <c r="V839" s="30"/>
      <c r="W839" s="30"/>
    </row>
    <row r="840" ht="14.25" customHeight="1">
      <c r="U840" s="30"/>
      <c r="V840" s="30"/>
      <c r="W840" s="30"/>
    </row>
    <row r="841" ht="14.25" customHeight="1">
      <c r="U841" s="30"/>
      <c r="V841" s="30"/>
      <c r="W841" s="30"/>
    </row>
    <row r="842" ht="14.25" customHeight="1">
      <c r="U842" s="30"/>
      <c r="V842" s="30"/>
      <c r="W842" s="30"/>
    </row>
    <row r="843" ht="14.25" customHeight="1">
      <c r="U843" s="30"/>
      <c r="V843" s="30"/>
      <c r="W843" s="30"/>
    </row>
    <row r="844" ht="14.25" customHeight="1">
      <c r="U844" s="30"/>
      <c r="V844" s="30"/>
      <c r="W844" s="30"/>
    </row>
    <row r="845" ht="14.25" customHeight="1">
      <c r="U845" s="30"/>
      <c r="V845" s="30"/>
      <c r="W845" s="30"/>
    </row>
    <row r="846" ht="14.25" customHeight="1">
      <c r="U846" s="30"/>
      <c r="V846" s="30"/>
      <c r="W846" s="30"/>
    </row>
    <row r="847" ht="14.25" customHeight="1">
      <c r="U847" s="30"/>
      <c r="V847" s="30"/>
      <c r="W847" s="30"/>
    </row>
    <row r="848" ht="14.25" customHeight="1">
      <c r="U848" s="30"/>
      <c r="V848" s="30"/>
      <c r="W848" s="30"/>
    </row>
    <row r="849" ht="14.25" customHeight="1">
      <c r="U849" s="30"/>
      <c r="V849" s="30"/>
      <c r="W849" s="30"/>
    </row>
    <row r="850" ht="14.25" customHeight="1">
      <c r="U850" s="30"/>
      <c r="V850" s="30"/>
      <c r="W850" s="30"/>
    </row>
    <row r="851" ht="14.25" customHeight="1">
      <c r="U851" s="30"/>
      <c r="V851" s="30"/>
      <c r="W851" s="30"/>
    </row>
    <row r="852" ht="14.25" customHeight="1">
      <c r="U852" s="30"/>
      <c r="V852" s="30"/>
      <c r="W852" s="30"/>
    </row>
    <row r="853" ht="14.25" customHeight="1">
      <c r="U853" s="30"/>
      <c r="V853" s="30"/>
      <c r="W853" s="30"/>
    </row>
    <row r="854" ht="14.25" customHeight="1">
      <c r="U854" s="30"/>
      <c r="V854" s="30"/>
      <c r="W854" s="30"/>
    </row>
    <row r="855" ht="14.25" customHeight="1">
      <c r="U855" s="30"/>
      <c r="V855" s="30"/>
      <c r="W855" s="30"/>
    </row>
    <row r="856" ht="14.25" customHeight="1">
      <c r="U856" s="30"/>
      <c r="V856" s="30"/>
      <c r="W856" s="30"/>
    </row>
    <row r="857" ht="14.25" customHeight="1">
      <c r="U857" s="30"/>
      <c r="V857" s="30"/>
      <c r="W857" s="30"/>
    </row>
    <row r="858" ht="14.25" customHeight="1">
      <c r="U858" s="30"/>
      <c r="V858" s="30"/>
      <c r="W858" s="30"/>
    </row>
    <row r="859" ht="14.25" customHeight="1">
      <c r="U859" s="30"/>
      <c r="V859" s="30"/>
      <c r="W859" s="30"/>
    </row>
    <row r="860" ht="14.25" customHeight="1">
      <c r="U860" s="30"/>
      <c r="V860" s="30"/>
      <c r="W860" s="30"/>
    </row>
    <row r="861" ht="14.25" customHeight="1">
      <c r="U861" s="30"/>
      <c r="V861" s="30"/>
      <c r="W861" s="30"/>
    </row>
    <row r="862" ht="14.25" customHeight="1">
      <c r="U862" s="30"/>
      <c r="V862" s="30"/>
      <c r="W862" s="30"/>
    </row>
    <row r="863" ht="14.25" customHeight="1">
      <c r="U863" s="30"/>
      <c r="V863" s="30"/>
      <c r="W863" s="30"/>
    </row>
    <row r="864" ht="14.25" customHeight="1">
      <c r="U864" s="30"/>
      <c r="V864" s="30"/>
      <c r="W864" s="30"/>
    </row>
    <row r="865" ht="14.25" customHeight="1">
      <c r="U865" s="30"/>
      <c r="V865" s="30"/>
      <c r="W865" s="30"/>
    </row>
    <row r="866" ht="14.25" customHeight="1">
      <c r="U866" s="30"/>
      <c r="V866" s="30"/>
      <c r="W866" s="30"/>
    </row>
    <row r="867" ht="14.25" customHeight="1">
      <c r="U867" s="30"/>
      <c r="V867" s="30"/>
      <c r="W867" s="30"/>
    </row>
    <row r="868" ht="14.25" customHeight="1">
      <c r="U868" s="30"/>
      <c r="V868" s="30"/>
      <c r="W868" s="30"/>
    </row>
    <row r="869" ht="14.25" customHeight="1">
      <c r="U869" s="30"/>
      <c r="V869" s="30"/>
      <c r="W869" s="30"/>
    </row>
    <row r="870" ht="14.25" customHeight="1">
      <c r="U870" s="30"/>
      <c r="V870" s="30"/>
      <c r="W870" s="30"/>
    </row>
    <row r="871" ht="14.25" customHeight="1">
      <c r="U871" s="30"/>
      <c r="V871" s="30"/>
      <c r="W871" s="30"/>
    </row>
    <row r="872" ht="14.25" customHeight="1">
      <c r="U872" s="30"/>
      <c r="V872" s="30"/>
      <c r="W872" s="30"/>
    </row>
    <row r="873" ht="14.25" customHeight="1">
      <c r="U873" s="30"/>
      <c r="V873" s="30"/>
      <c r="W873" s="30"/>
    </row>
    <row r="874" ht="14.25" customHeight="1">
      <c r="U874" s="30"/>
      <c r="V874" s="30"/>
      <c r="W874" s="30"/>
    </row>
    <row r="875" ht="14.25" customHeight="1">
      <c r="U875" s="30"/>
      <c r="V875" s="30"/>
      <c r="W875" s="30"/>
    </row>
    <row r="876" ht="14.25" customHeight="1">
      <c r="U876" s="30"/>
      <c r="V876" s="30"/>
      <c r="W876" s="30"/>
    </row>
    <row r="877" ht="14.25" customHeight="1">
      <c r="U877" s="30"/>
      <c r="V877" s="30"/>
      <c r="W877" s="30"/>
    </row>
    <row r="878" ht="14.25" customHeight="1">
      <c r="U878" s="30"/>
      <c r="V878" s="30"/>
      <c r="W878" s="30"/>
    </row>
    <row r="879" ht="14.25" customHeight="1">
      <c r="U879" s="30"/>
      <c r="V879" s="30"/>
      <c r="W879" s="30"/>
    </row>
    <row r="880" ht="14.25" customHeight="1">
      <c r="U880" s="30"/>
      <c r="V880" s="30"/>
      <c r="W880" s="30"/>
    </row>
    <row r="881" ht="14.25" customHeight="1">
      <c r="U881" s="30"/>
      <c r="V881" s="30"/>
      <c r="W881" s="30"/>
    </row>
    <row r="882" ht="14.25" customHeight="1">
      <c r="U882" s="30"/>
      <c r="V882" s="30"/>
      <c r="W882" s="30"/>
    </row>
    <row r="883" ht="14.25" customHeight="1">
      <c r="U883" s="30"/>
      <c r="V883" s="30"/>
      <c r="W883" s="30"/>
    </row>
    <row r="884" ht="14.25" customHeight="1">
      <c r="U884" s="30"/>
      <c r="V884" s="30"/>
      <c r="W884" s="30"/>
    </row>
    <row r="885" ht="14.25" customHeight="1">
      <c r="U885" s="30"/>
      <c r="V885" s="30"/>
      <c r="W885" s="30"/>
    </row>
    <row r="886" ht="14.25" customHeight="1">
      <c r="U886" s="30"/>
      <c r="V886" s="30"/>
      <c r="W886" s="30"/>
    </row>
    <row r="887" ht="14.25" customHeight="1">
      <c r="U887" s="30"/>
      <c r="V887" s="30"/>
      <c r="W887" s="30"/>
    </row>
    <row r="888" ht="14.25" customHeight="1">
      <c r="U888" s="30"/>
      <c r="V888" s="30"/>
      <c r="W888" s="30"/>
    </row>
    <row r="889" ht="14.25" customHeight="1">
      <c r="U889" s="30"/>
      <c r="V889" s="30"/>
      <c r="W889" s="30"/>
    </row>
    <row r="890" ht="14.25" customHeight="1">
      <c r="U890" s="30"/>
      <c r="V890" s="30"/>
      <c r="W890" s="30"/>
    </row>
    <row r="891" ht="14.25" customHeight="1">
      <c r="U891" s="30"/>
      <c r="V891" s="30"/>
      <c r="W891" s="30"/>
    </row>
    <row r="892" ht="14.25" customHeight="1">
      <c r="U892" s="30"/>
      <c r="V892" s="30"/>
      <c r="W892" s="30"/>
    </row>
    <row r="893" ht="14.25" customHeight="1">
      <c r="U893" s="30"/>
      <c r="V893" s="30"/>
      <c r="W893" s="30"/>
    </row>
    <row r="894" ht="14.25" customHeight="1">
      <c r="U894" s="30"/>
      <c r="V894" s="30"/>
      <c r="W894" s="30"/>
    </row>
    <row r="895" ht="14.25" customHeight="1">
      <c r="U895" s="30"/>
      <c r="V895" s="30"/>
      <c r="W895" s="30"/>
    </row>
    <row r="896" ht="14.25" customHeight="1">
      <c r="U896" s="30"/>
      <c r="V896" s="30"/>
      <c r="W896" s="30"/>
    </row>
    <row r="897" ht="14.25" customHeight="1">
      <c r="U897" s="30"/>
      <c r="V897" s="30"/>
      <c r="W897" s="30"/>
    </row>
    <row r="898" ht="14.25" customHeight="1">
      <c r="U898" s="30"/>
      <c r="V898" s="30"/>
      <c r="W898" s="30"/>
    </row>
    <row r="899" ht="14.25" customHeight="1">
      <c r="U899" s="30"/>
      <c r="V899" s="30"/>
      <c r="W899" s="30"/>
    </row>
    <row r="900" ht="14.25" customHeight="1">
      <c r="U900" s="30"/>
      <c r="V900" s="30"/>
      <c r="W900" s="30"/>
    </row>
    <row r="901" ht="14.25" customHeight="1">
      <c r="U901" s="30"/>
      <c r="V901" s="30"/>
      <c r="W901" s="30"/>
    </row>
    <row r="902" ht="14.25" customHeight="1">
      <c r="U902" s="30"/>
      <c r="V902" s="30"/>
      <c r="W902" s="30"/>
    </row>
    <row r="903" ht="14.25" customHeight="1">
      <c r="U903" s="30"/>
      <c r="V903" s="30"/>
      <c r="W903" s="30"/>
    </row>
    <row r="904" ht="14.25" customHeight="1">
      <c r="U904" s="30"/>
      <c r="V904" s="30"/>
      <c r="W904" s="30"/>
    </row>
    <row r="905" ht="14.25" customHeight="1">
      <c r="U905" s="30"/>
      <c r="V905" s="30"/>
      <c r="W905" s="30"/>
    </row>
    <row r="906" ht="14.25" customHeight="1">
      <c r="U906" s="30"/>
      <c r="V906" s="30"/>
      <c r="W906" s="30"/>
    </row>
    <row r="907" ht="14.25" customHeight="1">
      <c r="U907" s="30"/>
      <c r="V907" s="30"/>
      <c r="W907" s="30"/>
    </row>
    <row r="908" ht="14.25" customHeight="1">
      <c r="U908" s="30"/>
      <c r="V908" s="30"/>
      <c r="W908" s="30"/>
    </row>
    <row r="909" ht="14.25" customHeight="1">
      <c r="U909" s="30"/>
      <c r="V909" s="30"/>
      <c r="W909" s="30"/>
    </row>
    <row r="910" ht="14.25" customHeight="1">
      <c r="U910" s="30"/>
      <c r="V910" s="30"/>
      <c r="W910" s="30"/>
    </row>
    <row r="911" ht="14.25" customHeight="1">
      <c r="U911" s="30"/>
      <c r="V911" s="30"/>
      <c r="W911" s="30"/>
    </row>
    <row r="912" ht="14.25" customHeight="1">
      <c r="U912" s="30"/>
      <c r="V912" s="30"/>
      <c r="W912" s="30"/>
    </row>
    <row r="913" ht="14.25" customHeight="1">
      <c r="U913" s="30"/>
      <c r="V913" s="30"/>
      <c r="W913" s="30"/>
    </row>
    <row r="914" ht="14.25" customHeight="1">
      <c r="U914" s="30"/>
      <c r="V914" s="30"/>
      <c r="W914" s="30"/>
    </row>
    <row r="915" ht="14.25" customHeight="1">
      <c r="U915" s="30"/>
      <c r="V915" s="30"/>
      <c r="W915" s="30"/>
    </row>
    <row r="916" ht="14.25" customHeight="1">
      <c r="U916" s="30"/>
      <c r="V916" s="30"/>
      <c r="W916" s="30"/>
    </row>
    <row r="917" ht="14.25" customHeight="1">
      <c r="U917" s="30"/>
      <c r="V917" s="30"/>
      <c r="W917" s="30"/>
    </row>
    <row r="918" ht="14.25" customHeight="1">
      <c r="U918" s="30"/>
      <c r="V918" s="30"/>
      <c r="W918" s="30"/>
    </row>
    <row r="919" ht="14.25" customHeight="1">
      <c r="U919" s="30"/>
      <c r="V919" s="30"/>
      <c r="W919" s="30"/>
    </row>
    <row r="920" ht="14.25" customHeight="1">
      <c r="U920" s="30"/>
      <c r="V920" s="30"/>
      <c r="W920" s="30"/>
    </row>
    <row r="921" ht="14.25" customHeight="1">
      <c r="U921" s="30"/>
      <c r="V921" s="30"/>
      <c r="W921" s="30"/>
    </row>
    <row r="922" ht="14.25" customHeight="1">
      <c r="U922" s="30"/>
      <c r="V922" s="30"/>
      <c r="W922" s="30"/>
    </row>
    <row r="923" ht="14.25" customHeight="1">
      <c r="U923" s="30"/>
      <c r="V923" s="30"/>
      <c r="W923" s="30"/>
    </row>
    <row r="924" ht="14.25" customHeight="1">
      <c r="U924" s="30"/>
      <c r="V924" s="30"/>
      <c r="W924" s="30"/>
    </row>
    <row r="925" ht="14.25" customHeight="1">
      <c r="U925" s="30"/>
      <c r="V925" s="30"/>
      <c r="W925" s="30"/>
    </row>
    <row r="926" ht="14.25" customHeight="1">
      <c r="U926" s="30"/>
      <c r="V926" s="30"/>
      <c r="W926" s="30"/>
    </row>
    <row r="927" ht="14.25" customHeight="1">
      <c r="U927" s="30"/>
      <c r="V927" s="30"/>
      <c r="W927" s="30"/>
    </row>
    <row r="928" ht="14.25" customHeight="1">
      <c r="U928" s="30"/>
      <c r="V928" s="30"/>
      <c r="W928" s="30"/>
    </row>
    <row r="929" ht="14.25" customHeight="1">
      <c r="U929" s="30"/>
      <c r="V929" s="30"/>
      <c r="W929" s="30"/>
    </row>
    <row r="930" ht="14.25" customHeight="1">
      <c r="U930" s="30"/>
      <c r="V930" s="30"/>
      <c r="W930" s="30"/>
    </row>
    <row r="931" ht="14.25" customHeight="1">
      <c r="U931" s="30"/>
      <c r="V931" s="30"/>
      <c r="W931" s="30"/>
    </row>
    <row r="932" ht="14.25" customHeight="1">
      <c r="U932" s="30"/>
      <c r="V932" s="30"/>
      <c r="W932" s="30"/>
    </row>
    <row r="933" ht="14.25" customHeight="1">
      <c r="U933" s="30"/>
      <c r="V933" s="30"/>
      <c r="W933" s="30"/>
    </row>
    <row r="934" ht="14.25" customHeight="1">
      <c r="U934" s="30"/>
      <c r="V934" s="30"/>
      <c r="W934" s="30"/>
    </row>
    <row r="935" ht="14.25" customHeight="1">
      <c r="U935" s="30"/>
      <c r="V935" s="30"/>
      <c r="W935" s="30"/>
    </row>
    <row r="936" ht="14.25" customHeight="1">
      <c r="U936" s="30"/>
      <c r="V936" s="30"/>
      <c r="W936" s="30"/>
    </row>
    <row r="937" ht="14.25" customHeight="1">
      <c r="U937" s="30"/>
      <c r="V937" s="30"/>
      <c r="W937" s="30"/>
    </row>
    <row r="938" ht="14.25" customHeight="1">
      <c r="U938" s="30"/>
      <c r="V938" s="30"/>
      <c r="W938" s="30"/>
    </row>
    <row r="939" ht="14.25" customHeight="1">
      <c r="U939" s="30"/>
      <c r="V939" s="30"/>
      <c r="W939" s="30"/>
    </row>
    <row r="940" ht="14.25" customHeight="1">
      <c r="U940" s="30"/>
      <c r="V940" s="30"/>
      <c r="W940" s="30"/>
    </row>
    <row r="941" ht="14.25" customHeight="1">
      <c r="U941" s="30"/>
      <c r="V941" s="30"/>
      <c r="W941" s="30"/>
    </row>
    <row r="942" ht="14.25" customHeight="1">
      <c r="U942" s="30"/>
      <c r="V942" s="30"/>
      <c r="W942" s="30"/>
    </row>
    <row r="943" ht="14.25" customHeight="1">
      <c r="U943" s="30"/>
      <c r="V943" s="30"/>
      <c r="W943" s="30"/>
    </row>
    <row r="944" ht="14.25" customHeight="1">
      <c r="U944" s="30"/>
      <c r="V944" s="30"/>
      <c r="W944" s="30"/>
    </row>
    <row r="945" ht="14.25" customHeight="1">
      <c r="U945" s="30"/>
      <c r="V945" s="30"/>
      <c r="W945" s="30"/>
    </row>
    <row r="946" ht="14.25" customHeight="1">
      <c r="U946" s="30"/>
      <c r="V946" s="30"/>
      <c r="W946" s="30"/>
    </row>
    <row r="947" ht="14.25" customHeight="1">
      <c r="U947" s="30"/>
      <c r="V947" s="30"/>
      <c r="W947" s="30"/>
    </row>
    <row r="948" ht="14.25" customHeight="1">
      <c r="U948" s="30"/>
      <c r="V948" s="30"/>
      <c r="W948" s="30"/>
    </row>
    <row r="949" ht="14.25" customHeight="1">
      <c r="U949" s="30"/>
      <c r="V949" s="30"/>
      <c r="W949" s="30"/>
    </row>
    <row r="950" ht="14.25" customHeight="1">
      <c r="U950" s="30"/>
      <c r="V950" s="30"/>
      <c r="W950" s="30"/>
    </row>
    <row r="951" ht="14.25" customHeight="1">
      <c r="U951" s="30"/>
      <c r="V951" s="30"/>
      <c r="W951" s="30"/>
    </row>
    <row r="952" ht="14.25" customHeight="1">
      <c r="U952" s="30"/>
      <c r="V952" s="30"/>
      <c r="W952" s="30"/>
    </row>
    <row r="953" ht="14.25" customHeight="1">
      <c r="U953" s="30"/>
      <c r="V953" s="30"/>
      <c r="W953" s="30"/>
    </row>
    <row r="954" ht="14.25" customHeight="1">
      <c r="U954" s="30"/>
      <c r="V954" s="30"/>
      <c r="W954" s="30"/>
    </row>
    <row r="955" ht="14.25" customHeight="1">
      <c r="U955" s="30"/>
      <c r="V955" s="30"/>
      <c r="W955" s="30"/>
    </row>
    <row r="956" ht="14.25" customHeight="1">
      <c r="U956" s="30"/>
      <c r="V956" s="30"/>
      <c r="W956" s="30"/>
    </row>
    <row r="957" ht="14.25" customHeight="1">
      <c r="U957" s="30"/>
      <c r="V957" s="30"/>
      <c r="W957" s="30"/>
    </row>
    <row r="958" ht="14.25" customHeight="1">
      <c r="U958" s="30"/>
      <c r="V958" s="30"/>
      <c r="W958" s="30"/>
    </row>
    <row r="959" ht="14.25" customHeight="1">
      <c r="U959" s="30"/>
      <c r="V959" s="30"/>
      <c r="W959" s="30"/>
    </row>
    <row r="960" ht="14.25" customHeight="1">
      <c r="U960" s="30"/>
      <c r="V960" s="30"/>
      <c r="W960" s="30"/>
    </row>
    <row r="961" ht="14.25" customHeight="1">
      <c r="U961" s="30"/>
      <c r="V961" s="30"/>
      <c r="W961" s="30"/>
    </row>
    <row r="962" ht="14.25" customHeight="1">
      <c r="U962" s="30"/>
      <c r="V962" s="30"/>
      <c r="W962" s="30"/>
    </row>
    <row r="963" ht="14.25" customHeight="1">
      <c r="U963" s="30"/>
      <c r="V963" s="30"/>
      <c r="W963" s="30"/>
    </row>
    <row r="964" ht="14.25" customHeight="1">
      <c r="U964" s="30"/>
      <c r="V964" s="30"/>
      <c r="W964" s="30"/>
    </row>
    <row r="965" ht="14.25" customHeight="1">
      <c r="U965" s="30"/>
      <c r="V965" s="30"/>
      <c r="W965" s="30"/>
    </row>
    <row r="966" ht="14.25" customHeight="1">
      <c r="U966" s="30"/>
      <c r="V966" s="30"/>
      <c r="W966" s="30"/>
    </row>
    <row r="967" ht="14.25" customHeight="1">
      <c r="U967" s="30"/>
      <c r="V967" s="30"/>
      <c r="W967" s="30"/>
    </row>
    <row r="968" ht="14.25" customHeight="1">
      <c r="U968" s="30"/>
      <c r="V968" s="30"/>
      <c r="W968" s="30"/>
    </row>
    <row r="969" ht="14.25" customHeight="1">
      <c r="U969" s="30"/>
      <c r="V969" s="30"/>
      <c r="W969" s="30"/>
    </row>
    <row r="970" ht="14.25" customHeight="1">
      <c r="U970" s="30"/>
      <c r="V970" s="30"/>
      <c r="W970" s="30"/>
    </row>
    <row r="971" ht="14.25" customHeight="1">
      <c r="U971" s="30"/>
      <c r="V971" s="30"/>
      <c r="W971" s="30"/>
    </row>
    <row r="972" ht="14.25" customHeight="1">
      <c r="U972" s="30"/>
      <c r="V972" s="30"/>
      <c r="W972" s="30"/>
    </row>
    <row r="973" ht="14.25" customHeight="1">
      <c r="U973" s="30"/>
      <c r="V973" s="30"/>
      <c r="W973" s="30"/>
    </row>
    <row r="974" ht="14.25" customHeight="1">
      <c r="U974" s="30"/>
      <c r="V974" s="30"/>
      <c r="W974" s="30"/>
    </row>
    <row r="975" ht="14.25" customHeight="1">
      <c r="U975" s="30"/>
      <c r="V975" s="30"/>
      <c r="W975" s="30"/>
    </row>
    <row r="976" ht="14.25" customHeight="1">
      <c r="U976" s="30"/>
      <c r="V976" s="30"/>
      <c r="W976" s="30"/>
    </row>
    <row r="977" ht="14.25" customHeight="1">
      <c r="U977" s="30"/>
      <c r="V977" s="30"/>
      <c r="W977" s="30"/>
    </row>
    <row r="978" ht="14.25" customHeight="1">
      <c r="U978" s="30"/>
      <c r="V978" s="30"/>
      <c r="W978" s="30"/>
    </row>
    <row r="979" ht="14.25" customHeight="1">
      <c r="U979" s="30"/>
      <c r="V979" s="30"/>
      <c r="W979" s="30"/>
    </row>
    <row r="980" ht="14.25" customHeight="1">
      <c r="U980" s="30"/>
      <c r="V980" s="30"/>
      <c r="W980" s="30"/>
    </row>
    <row r="981" ht="14.25" customHeight="1">
      <c r="U981" s="30"/>
      <c r="V981" s="30"/>
      <c r="W981" s="30"/>
    </row>
    <row r="982" ht="14.25" customHeight="1">
      <c r="U982" s="30"/>
      <c r="V982" s="30"/>
      <c r="W982" s="30"/>
    </row>
    <row r="983" ht="14.25" customHeight="1">
      <c r="U983" s="30"/>
      <c r="V983" s="30"/>
      <c r="W983" s="30"/>
    </row>
    <row r="984" ht="14.25" customHeight="1">
      <c r="U984" s="30"/>
      <c r="V984" s="30"/>
      <c r="W984" s="30"/>
    </row>
    <row r="985" ht="14.25" customHeight="1">
      <c r="U985" s="30"/>
      <c r="V985" s="30"/>
      <c r="W985" s="30"/>
    </row>
    <row r="986" ht="14.25" customHeight="1">
      <c r="U986" s="30"/>
      <c r="V986" s="30"/>
      <c r="W986" s="30"/>
    </row>
    <row r="987" ht="14.25" customHeight="1">
      <c r="U987" s="30"/>
      <c r="V987" s="30"/>
      <c r="W987" s="30"/>
    </row>
    <row r="988" ht="14.25" customHeight="1">
      <c r="U988" s="30"/>
      <c r="V988" s="30"/>
      <c r="W988" s="30"/>
    </row>
    <row r="989" ht="14.25" customHeight="1">
      <c r="U989" s="30"/>
      <c r="V989" s="30"/>
      <c r="W989" s="30"/>
    </row>
    <row r="990" ht="14.25" customHeight="1">
      <c r="U990" s="30"/>
      <c r="V990" s="30"/>
      <c r="W990" s="30"/>
    </row>
    <row r="991" ht="14.25" customHeight="1">
      <c r="U991" s="30"/>
      <c r="V991" s="30"/>
      <c r="W991" s="30"/>
    </row>
    <row r="992" ht="14.25" customHeight="1">
      <c r="U992" s="30"/>
      <c r="V992" s="30"/>
      <c r="W992" s="30"/>
    </row>
    <row r="993" ht="14.25" customHeight="1">
      <c r="U993" s="30"/>
      <c r="V993" s="30"/>
      <c r="W993" s="30"/>
    </row>
    <row r="994" ht="14.25" customHeight="1">
      <c r="U994" s="30"/>
      <c r="V994" s="30"/>
      <c r="W994" s="30"/>
    </row>
    <row r="995" ht="14.25" customHeight="1">
      <c r="U995" s="30"/>
      <c r="V995" s="30"/>
      <c r="W995" s="30"/>
    </row>
    <row r="996" ht="14.25" customHeight="1">
      <c r="U996" s="30"/>
      <c r="V996" s="30"/>
      <c r="W996" s="30"/>
    </row>
    <row r="997" ht="14.25" customHeight="1">
      <c r="U997" s="30"/>
      <c r="V997" s="30"/>
      <c r="W997" s="30"/>
    </row>
    <row r="998" ht="14.25" customHeight="1">
      <c r="U998" s="30"/>
      <c r="V998" s="30"/>
      <c r="W998" s="30"/>
    </row>
    <row r="999" ht="14.25" customHeight="1">
      <c r="U999" s="30"/>
      <c r="V999" s="30"/>
      <c r="W999" s="30"/>
    </row>
    <row r="1000" ht="14.25" customHeight="1">
      <c r="U1000" s="30"/>
      <c r="V1000" s="30"/>
      <c r="W1000" s="30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2"/>
  <cols>
    <col customWidth="1" min="1" max="1" width="25.88"/>
    <col customWidth="1" min="2" max="2" width="27.13"/>
    <col customWidth="1" min="3" max="3" width="10.0"/>
    <col customWidth="1" min="4" max="4" width="11.5"/>
    <col customWidth="1" min="5" max="5" width="9.13"/>
    <col customWidth="1" min="6" max="6" width="12.88"/>
    <col customWidth="1" min="7" max="8" width="11.5"/>
    <col customWidth="1" min="9" max="9" width="12.38"/>
    <col customWidth="1" min="10" max="14" width="8.88"/>
    <col customWidth="1" min="15" max="15" width="10.88"/>
    <col customWidth="1" min="16" max="16" width="10.13"/>
    <col customWidth="1" min="17" max="18" width="8.88"/>
    <col customWidth="1" min="19" max="20" width="10.88"/>
    <col customWidth="1" min="21" max="21" width="11.5"/>
    <col customWidth="1" hidden="1" min="22" max="22" width="15.5"/>
    <col customWidth="1" hidden="1" min="23" max="23" width="11.5"/>
    <col customWidth="1" min="24" max="26" width="8.88"/>
  </cols>
  <sheetData>
    <row r="1" ht="14.25" customHeight="1">
      <c r="A1" s="2" t="s">
        <v>1</v>
      </c>
      <c r="B1" s="5" t="s">
        <v>5</v>
      </c>
      <c r="C1" s="7" t="s">
        <v>4</v>
      </c>
      <c r="D1" s="7" t="s">
        <v>6</v>
      </c>
      <c r="E1" s="7" t="s">
        <v>7</v>
      </c>
      <c r="F1" s="7" t="s">
        <v>9</v>
      </c>
      <c r="G1" s="7" t="s">
        <v>10</v>
      </c>
      <c r="H1" s="7" t="s">
        <v>12</v>
      </c>
      <c r="I1" s="7" t="s">
        <v>14</v>
      </c>
      <c r="J1" s="7" t="s">
        <v>16</v>
      </c>
      <c r="K1" s="7" t="s">
        <v>18</v>
      </c>
      <c r="L1" s="7" t="s">
        <v>19</v>
      </c>
      <c r="M1" s="7" t="s">
        <v>20</v>
      </c>
      <c r="N1" s="7" t="s">
        <v>21</v>
      </c>
      <c r="O1" s="17" t="s">
        <v>22</v>
      </c>
      <c r="P1" s="17" t="s">
        <v>24</v>
      </c>
      <c r="Q1" s="17" t="s">
        <v>26</v>
      </c>
      <c r="R1" s="17" t="s">
        <v>28</v>
      </c>
      <c r="S1" s="17" t="s">
        <v>30</v>
      </c>
      <c r="T1" s="17" t="s">
        <v>32</v>
      </c>
      <c r="U1" s="17" t="s">
        <v>34</v>
      </c>
      <c r="V1" s="17" t="s">
        <v>37</v>
      </c>
      <c r="W1" s="17" t="s">
        <v>34</v>
      </c>
      <c r="X1" s="24"/>
      <c r="Y1" s="24"/>
      <c r="Z1" s="24"/>
    </row>
    <row r="2" ht="14.25" customHeight="1">
      <c r="A2" s="29" t="s">
        <v>45</v>
      </c>
      <c r="B2" s="31" t="s">
        <v>46</v>
      </c>
      <c r="C2" s="33">
        <v>1477175.91</v>
      </c>
      <c r="D2" s="34">
        <v>1588602.79</v>
      </c>
      <c r="E2" s="34">
        <v>1365786.21</v>
      </c>
      <c r="F2" s="37">
        <v>1787262.12</v>
      </c>
      <c r="G2" s="37">
        <v>1640961.84</v>
      </c>
      <c r="H2" s="37">
        <v>1787215.62</v>
      </c>
      <c r="I2" s="24"/>
      <c r="J2" s="24"/>
      <c r="K2" s="24"/>
      <c r="L2" s="24"/>
      <c r="M2" s="24"/>
      <c r="N2" s="24"/>
      <c r="O2" s="40">
        <f t="shared" ref="O2:O86" si="1">SUM(C2:E2)</f>
        <v>4431564.91</v>
      </c>
      <c r="P2" s="43">
        <f t="shared" ref="P2:P86" si="2">SUM(F2:H2)</f>
        <v>5215439.58</v>
      </c>
      <c r="Q2" s="43">
        <f t="shared" ref="Q2:Q86" si="3">SUM(I2:K2)</f>
        <v>0</v>
      </c>
      <c r="R2" s="43">
        <f t="shared" ref="R2:R86" si="4">SUM(L2:N2)</f>
        <v>0</v>
      </c>
      <c r="S2" s="43">
        <f t="shared" ref="S2:S86" si="5">SUM(C2:N2)</f>
        <v>9647004.49</v>
      </c>
      <c r="T2" s="43">
        <v>8682000.0</v>
      </c>
      <c r="U2" s="43">
        <f>S2-T2</f>
        <v>965004.49</v>
      </c>
      <c r="V2" s="43">
        <v>8682000.0</v>
      </c>
      <c r="W2" s="43">
        <f>S2-V2</f>
        <v>965004.49</v>
      </c>
      <c r="X2" s="24"/>
      <c r="Y2" s="24"/>
      <c r="Z2" s="24"/>
    </row>
    <row r="3" ht="14.25" customHeight="1" outlineLevel="1">
      <c r="A3" s="46" t="s">
        <v>70</v>
      </c>
      <c r="B3" s="47" t="s">
        <v>72</v>
      </c>
      <c r="C3" s="48">
        <v>1477175.91</v>
      </c>
      <c r="D3" s="37">
        <v>1588602.79</v>
      </c>
      <c r="E3" s="37">
        <v>1365786.21</v>
      </c>
      <c r="F3" s="37">
        <v>1787262.12</v>
      </c>
      <c r="G3" s="37">
        <v>1640961.84</v>
      </c>
      <c r="H3" s="37">
        <v>1787215.62</v>
      </c>
      <c r="I3" s="24"/>
      <c r="J3" s="24"/>
      <c r="K3" s="24"/>
      <c r="L3" s="24"/>
      <c r="M3" s="24"/>
      <c r="N3" s="24"/>
      <c r="O3" s="40">
        <f t="shared" si="1"/>
        <v>4431564.91</v>
      </c>
      <c r="P3" s="43">
        <f t="shared" si="2"/>
        <v>5215439.58</v>
      </c>
      <c r="Q3" s="43">
        <f t="shared" si="3"/>
        <v>0</v>
      </c>
      <c r="R3" s="43">
        <f t="shared" si="4"/>
        <v>0</v>
      </c>
      <c r="S3" s="43">
        <f t="shared" si="5"/>
        <v>9647004.49</v>
      </c>
      <c r="T3" s="43"/>
      <c r="U3" s="43"/>
      <c r="V3" s="43"/>
      <c r="W3" s="43"/>
      <c r="X3" s="24"/>
      <c r="Y3" s="24"/>
      <c r="Z3" s="24"/>
    </row>
    <row r="4" ht="14.25" customHeight="1" outlineLevel="1">
      <c r="A4" s="46" t="s">
        <v>86</v>
      </c>
      <c r="B4" s="47" t="s">
        <v>88</v>
      </c>
      <c r="C4" s="48">
        <v>1471175.91</v>
      </c>
      <c r="D4" s="37">
        <v>1585602.79</v>
      </c>
      <c r="E4" s="37">
        <v>1362786.21</v>
      </c>
      <c r="F4" s="37">
        <v>1787262.12</v>
      </c>
      <c r="G4" s="37">
        <v>1640961.84</v>
      </c>
      <c r="H4" s="37">
        <v>1787215.62</v>
      </c>
      <c r="I4" s="24"/>
      <c r="J4" s="24"/>
      <c r="K4" s="24"/>
      <c r="L4" s="24"/>
      <c r="M4" s="24"/>
      <c r="N4" s="24"/>
      <c r="O4" s="40">
        <f t="shared" si="1"/>
        <v>4419564.91</v>
      </c>
      <c r="P4" s="43">
        <f t="shared" si="2"/>
        <v>5215439.58</v>
      </c>
      <c r="Q4" s="43">
        <f t="shared" si="3"/>
        <v>0</v>
      </c>
      <c r="R4" s="43">
        <f t="shared" si="4"/>
        <v>0</v>
      </c>
      <c r="S4" s="43">
        <f t="shared" si="5"/>
        <v>9635004.49</v>
      </c>
      <c r="T4" s="43"/>
      <c r="U4" s="43"/>
      <c r="V4" s="43"/>
      <c r="W4" s="43"/>
      <c r="X4" s="24"/>
      <c r="Y4" s="24"/>
      <c r="Z4" s="24"/>
    </row>
    <row r="5" ht="14.25" customHeight="1" outlineLevel="1">
      <c r="A5" s="46" t="s">
        <v>100</v>
      </c>
      <c r="B5" s="47" t="s">
        <v>102</v>
      </c>
      <c r="C5" s="48">
        <v>1471175.91</v>
      </c>
      <c r="D5" s="37">
        <v>1585602.79</v>
      </c>
      <c r="E5" s="37">
        <v>1362786.21</v>
      </c>
      <c r="F5" s="37">
        <v>1787262.12</v>
      </c>
      <c r="G5" s="37">
        <v>1640961.84</v>
      </c>
      <c r="H5" s="37">
        <v>1787215.62</v>
      </c>
      <c r="I5" s="24"/>
      <c r="J5" s="24"/>
      <c r="K5" s="24"/>
      <c r="L5" s="24"/>
      <c r="M5" s="24"/>
      <c r="N5" s="24"/>
      <c r="O5" s="40">
        <f t="shared" si="1"/>
        <v>4419564.91</v>
      </c>
      <c r="P5" s="43">
        <f t="shared" si="2"/>
        <v>5215439.58</v>
      </c>
      <c r="Q5" s="43">
        <f t="shared" si="3"/>
        <v>0</v>
      </c>
      <c r="R5" s="43">
        <f t="shared" si="4"/>
        <v>0</v>
      </c>
      <c r="S5" s="43">
        <f t="shared" si="5"/>
        <v>9635004.49</v>
      </c>
      <c r="T5" s="43"/>
      <c r="U5" s="43"/>
      <c r="V5" s="43"/>
      <c r="W5" s="43"/>
      <c r="X5" s="24"/>
      <c r="Y5" s="24"/>
      <c r="Z5" s="24"/>
    </row>
    <row r="6" ht="14.25" customHeight="1" outlineLevel="1">
      <c r="A6" s="46" t="s">
        <v>113</v>
      </c>
      <c r="B6" s="47" t="s">
        <v>114</v>
      </c>
      <c r="C6" s="48">
        <v>6000.0</v>
      </c>
      <c r="D6" s="37">
        <v>3000.0</v>
      </c>
      <c r="E6" s="37">
        <v>3000.0</v>
      </c>
      <c r="F6" s="24"/>
      <c r="G6" s="24"/>
      <c r="H6" s="37"/>
      <c r="I6" s="24"/>
      <c r="J6" s="24"/>
      <c r="K6" s="24"/>
      <c r="L6" s="24"/>
      <c r="M6" s="24"/>
      <c r="N6" s="24"/>
      <c r="O6" s="40">
        <f t="shared" si="1"/>
        <v>12000</v>
      </c>
      <c r="P6" s="43">
        <f t="shared" si="2"/>
        <v>0</v>
      </c>
      <c r="Q6" s="43">
        <f t="shared" si="3"/>
        <v>0</v>
      </c>
      <c r="R6" s="43">
        <f t="shared" si="4"/>
        <v>0</v>
      </c>
      <c r="S6" s="43">
        <f t="shared" si="5"/>
        <v>12000</v>
      </c>
      <c r="T6" s="43"/>
      <c r="U6" s="43"/>
      <c r="V6" s="43"/>
      <c r="W6" s="43"/>
      <c r="X6" s="24"/>
      <c r="Y6" s="24"/>
      <c r="Z6" s="24"/>
    </row>
    <row r="7" ht="14.25" customHeight="1" outlineLevel="1">
      <c r="A7" s="46" t="s">
        <v>126</v>
      </c>
      <c r="B7" s="47" t="s">
        <v>127</v>
      </c>
      <c r="C7" s="48">
        <v>6000.0</v>
      </c>
      <c r="D7" s="37">
        <v>3000.0</v>
      </c>
      <c r="E7" s="37">
        <v>3000.0</v>
      </c>
      <c r="F7" s="24"/>
      <c r="G7" s="24"/>
      <c r="H7" s="37"/>
      <c r="I7" s="24"/>
      <c r="J7" s="24"/>
      <c r="K7" s="24"/>
      <c r="L7" s="24"/>
      <c r="M7" s="24"/>
      <c r="N7" s="24"/>
      <c r="O7" s="40">
        <f t="shared" si="1"/>
        <v>12000</v>
      </c>
      <c r="P7" s="43">
        <f t="shared" si="2"/>
        <v>0</v>
      </c>
      <c r="Q7" s="43">
        <f t="shared" si="3"/>
        <v>0</v>
      </c>
      <c r="R7" s="43">
        <f t="shared" si="4"/>
        <v>0</v>
      </c>
      <c r="S7" s="43">
        <f t="shared" si="5"/>
        <v>12000</v>
      </c>
      <c r="T7" s="43"/>
      <c r="U7" s="43"/>
      <c r="V7" s="43"/>
      <c r="W7" s="43"/>
      <c r="X7" s="24"/>
      <c r="Y7" s="24"/>
      <c r="Z7" s="24"/>
    </row>
    <row r="8" ht="14.25" customHeight="1" outlineLevel="1">
      <c r="A8" s="46" t="s">
        <v>142</v>
      </c>
      <c r="B8" s="47" t="s">
        <v>143</v>
      </c>
      <c r="C8" s="48">
        <v>97833.22</v>
      </c>
      <c r="D8" s="37">
        <v>105442.54</v>
      </c>
      <c r="E8" s="37">
        <v>90625.19</v>
      </c>
      <c r="F8" s="37">
        <v>118835.87</v>
      </c>
      <c r="G8" s="37">
        <v>109123.99</v>
      </c>
      <c r="H8" s="37">
        <v>118849.76</v>
      </c>
      <c r="I8" s="24"/>
      <c r="J8" s="24"/>
      <c r="K8" s="24"/>
      <c r="L8" s="24"/>
      <c r="M8" s="24"/>
      <c r="N8" s="24"/>
      <c r="O8" s="40">
        <f t="shared" si="1"/>
        <v>293900.95</v>
      </c>
      <c r="P8" s="43">
        <f t="shared" si="2"/>
        <v>346809.62</v>
      </c>
      <c r="Q8" s="43">
        <f t="shared" si="3"/>
        <v>0</v>
      </c>
      <c r="R8" s="43">
        <f t="shared" si="4"/>
        <v>0</v>
      </c>
      <c r="S8" s="43">
        <f t="shared" si="5"/>
        <v>640710.57</v>
      </c>
      <c r="T8" s="43">
        <v>557500.0</v>
      </c>
      <c r="U8" s="43">
        <f>S8-T8</f>
        <v>83210.57</v>
      </c>
      <c r="V8" s="43"/>
      <c r="W8" s="43"/>
      <c r="X8" s="24"/>
      <c r="Y8" s="24"/>
      <c r="Z8" s="24"/>
    </row>
    <row r="9" ht="14.25" customHeight="1" outlineLevel="1">
      <c r="A9" s="46" t="s">
        <v>154</v>
      </c>
      <c r="B9" s="47" t="s">
        <v>157</v>
      </c>
      <c r="C9" s="48">
        <v>97833.22</v>
      </c>
      <c r="D9" s="37">
        <v>105442.54</v>
      </c>
      <c r="E9" s="37">
        <v>90625.19</v>
      </c>
      <c r="F9" s="24"/>
      <c r="G9" s="24"/>
      <c r="H9" s="37"/>
      <c r="I9" s="24"/>
      <c r="J9" s="24"/>
      <c r="K9" s="24"/>
      <c r="L9" s="24"/>
      <c r="M9" s="24"/>
      <c r="N9" s="24"/>
      <c r="O9" s="40">
        <f t="shared" si="1"/>
        <v>293900.95</v>
      </c>
      <c r="P9" s="43">
        <f t="shared" si="2"/>
        <v>0</v>
      </c>
      <c r="Q9" s="43">
        <f t="shared" si="3"/>
        <v>0</v>
      </c>
      <c r="R9" s="43">
        <f t="shared" si="4"/>
        <v>0</v>
      </c>
      <c r="S9" s="43">
        <f t="shared" si="5"/>
        <v>293900.95</v>
      </c>
      <c r="T9" s="43"/>
      <c r="U9" s="43"/>
      <c r="V9" s="43"/>
      <c r="W9" s="43"/>
      <c r="X9" s="24"/>
      <c r="Y9" s="24"/>
      <c r="Z9" s="24"/>
    </row>
    <row r="10" ht="14.25" customHeight="1" outlineLevel="1">
      <c r="A10" s="46" t="s">
        <v>171</v>
      </c>
      <c r="B10" s="47" t="s">
        <v>172</v>
      </c>
      <c r="C10" s="48">
        <v>44135.3</v>
      </c>
      <c r="D10" s="37">
        <v>47568.04</v>
      </c>
      <c r="E10" s="37">
        <v>40883.49</v>
      </c>
      <c r="F10" s="37">
        <v>53610.16</v>
      </c>
      <c r="G10" s="37">
        <v>49228.88</v>
      </c>
      <c r="H10" s="37">
        <v>53616.39</v>
      </c>
      <c r="I10" s="24"/>
      <c r="J10" s="24"/>
      <c r="K10" s="24"/>
      <c r="L10" s="24"/>
      <c r="M10" s="24"/>
      <c r="N10" s="24"/>
      <c r="O10" s="40">
        <f t="shared" si="1"/>
        <v>132586.83</v>
      </c>
      <c r="P10" s="43">
        <f t="shared" si="2"/>
        <v>156455.43</v>
      </c>
      <c r="Q10" s="43">
        <f t="shared" si="3"/>
        <v>0</v>
      </c>
      <c r="R10" s="43">
        <f t="shared" si="4"/>
        <v>0</v>
      </c>
      <c r="S10" s="43">
        <f t="shared" si="5"/>
        <v>289042.26</v>
      </c>
      <c r="T10" s="43"/>
      <c r="U10" s="43"/>
      <c r="V10" s="43"/>
      <c r="W10" s="43"/>
      <c r="X10" s="24"/>
      <c r="Y10" s="24"/>
      <c r="Z10" s="24"/>
    </row>
    <row r="11" ht="14.25" customHeight="1" outlineLevel="1">
      <c r="A11" s="46" t="s">
        <v>186</v>
      </c>
      <c r="B11" s="47" t="s">
        <v>189</v>
      </c>
      <c r="C11" s="48">
        <v>44135.3</v>
      </c>
      <c r="D11" s="37">
        <v>47568.04</v>
      </c>
      <c r="E11" s="37">
        <v>40883.49</v>
      </c>
      <c r="F11" s="37"/>
      <c r="G11" s="37"/>
      <c r="H11" s="37"/>
      <c r="I11" s="24"/>
      <c r="J11" s="24"/>
      <c r="K11" s="24"/>
      <c r="L11" s="24"/>
      <c r="M11" s="24"/>
      <c r="N11" s="24"/>
      <c r="O11" s="40">
        <f t="shared" si="1"/>
        <v>132586.83</v>
      </c>
      <c r="P11" s="43">
        <f t="shared" si="2"/>
        <v>0</v>
      </c>
      <c r="Q11" s="43">
        <f t="shared" si="3"/>
        <v>0</v>
      </c>
      <c r="R11" s="43">
        <f t="shared" si="4"/>
        <v>0</v>
      </c>
      <c r="S11" s="43">
        <f t="shared" si="5"/>
        <v>132586.83</v>
      </c>
      <c r="T11" s="43"/>
      <c r="U11" s="43"/>
      <c r="V11" s="43"/>
      <c r="W11" s="43"/>
      <c r="X11" s="24"/>
      <c r="Y11" s="24"/>
      <c r="Z11" s="24"/>
    </row>
    <row r="12" ht="14.25" customHeight="1" outlineLevel="1">
      <c r="A12" s="46" t="s">
        <v>204</v>
      </c>
      <c r="B12" s="47" t="s">
        <v>205</v>
      </c>
      <c r="C12" s="48">
        <v>44135.28</v>
      </c>
      <c r="D12" s="37">
        <v>47568.08</v>
      </c>
      <c r="E12" s="37">
        <v>40883.59</v>
      </c>
      <c r="F12" s="37">
        <v>53610.17</v>
      </c>
      <c r="G12" s="37">
        <v>49228.86</v>
      </c>
      <c r="H12" s="37">
        <v>53616.47</v>
      </c>
      <c r="I12" s="24"/>
      <c r="J12" s="24"/>
      <c r="K12" s="24"/>
      <c r="L12" s="24"/>
      <c r="M12" s="24"/>
      <c r="N12" s="24"/>
      <c r="O12" s="40">
        <f t="shared" si="1"/>
        <v>132586.95</v>
      </c>
      <c r="P12" s="43">
        <f t="shared" si="2"/>
        <v>156455.5</v>
      </c>
      <c r="Q12" s="43">
        <f t="shared" si="3"/>
        <v>0</v>
      </c>
      <c r="R12" s="43">
        <f t="shared" si="4"/>
        <v>0</v>
      </c>
      <c r="S12" s="43">
        <f t="shared" si="5"/>
        <v>289042.45</v>
      </c>
      <c r="T12" s="43"/>
      <c r="U12" s="43"/>
      <c r="V12" s="43"/>
      <c r="W12" s="43"/>
      <c r="X12" s="24"/>
      <c r="Y12" s="24"/>
      <c r="Z12" s="24"/>
    </row>
    <row r="13" ht="14.25" customHeight="1" outlineLevel="1">
      <c r="A13" s="46" t="s">
        <v>211</v>
      </c>
      <c r="B13" s="47" t="s">
        <v>212</v>
      </c>
      <c r="C13" s="48">
        <v>44135.28</v>
      </c>
      <c r="D13" s="37">
        <v>47568.08</v>
      </c>
      <c r="E13" s="37">
        <v>40883.59</v>
      </c>
      <c r="F13" s="37"/>
      <c r="G13" s="37"/>
      <c r="H13" s="37"/>
      <c r="I13" s="24"/>
      <c r="J13" s="24"/>
      <c r="K13" s="24"/>
      <c r="L13" s="24"/>
      <c r="M13" s="24"/>
      <c r="N13" s="24"/>
      <c r="O13" s="40">
        <f t="shared" si="1"/>
        <v>132586.95</v>
      </c>
      <c r="P13" s="43">
        <f t="shared" si="2"/>
        <v>0</v>
      </c>
      <c r="Q13" s="43">
        <f t="shared" si="3"/>
        <v>0</v>
      </c>
      <c r="R13" s="43">
        <f t="shared" si="4"/>
        <v>0</v>
      </c>
      <c r="S13" s="43">
        <f t="shared" si="5"/>
        <v>132586.95</v>
      </c>
      <c r="T13" s="43"/>
      <c r="U13" s="43"/>
      <c r="V13" s="43"/>
      <c r="W13" s="43"/>
      <c r="X13" s="24"/>
      <c r="Y13" s="24"/>
      <c r="Z13" s="24"/>
    </row>
    <row r="14" ht="14.25" customHeight="1" outlineLevel="1">
      <c r="A14" s="46" t="s">
        <v>219</v>
      </c>
      <c r="B14" s="47" t="s">
        <v>220</v>
      </c>
      <c r="C14" s="48">
        <v>9562.64</v>
      </c>
      <c r="D14" s="37">
        <v>10306.42</v>
      </c>
      <c r="E14" s="37">
        <v>8858.11</v>
      </c>
      <c r="F14" s="37">
        <v>11615.54</v>
      </c>
      <c r="G14" s="37">
        <v>10666.25</v>
      </c>
      <c r="H14" s="37">
        <v>11616.9</v>
      </c>
      <c r="I14" s="24"/>
      <c r="J14" s="24"/>
      <c r="K14" s="24"/>
      <c r="L14" s="24"/>
      <c r="M14" s="24"/>
      <c r="N14" s="24"/>
      <c r="O14" s="40">
        <f t="shared" si="1"/>
        <v>28727.17</v>
      </c>
      <c r="P14" s="43">
        <f t="shared" si="2"/>
        <v>33898.69</v>
      </c>
      <c r="Q14" s="43">
        <f t="shared" si="3"/>
        <v>0</v>
      </c>
      <c r="R14" s="43">
        <f t="shared" si="4"/>
        <v>0</v>
      </c>
      <c r="S14" s="43">
        <f t="shared" si="5"/>
        <v>62625.86</v>
      </c>
      <c r="T14" s="43"/>
      <c r="U14" s="43"/>
      <c r="V14" s="43"/>
      <c r="W14" s="43"/>
      <c r="X14" s="24"/>
      <c r="Y14" s="24"/>
      <c r="Z14" s="24"/>
    </row>
    <row r="15" ht="14.25" customHeight="1" outlineLevel="1">
      <c r="A15" s="46" t="s">
        <v>223</v>
      </c>
      <c r="B15" s="47" t="s">
        <v>224</v>
      </c>
      <c r="C15" s="48">
        <v>9562.64</v>
      </c>
      <c r="D15" s="37">
        <v>10306.42</v>
      </c>
      <c r="E15" s="37">
        <v>8858.11</v>
      </c>
      <c r="F15" s="37"/>
      <c r="G15" s="37"/>
      <c r="H15" s="37"/>
      <c r="I15" s="24"/>
      <c r="J15" s="24"/>
      <c r="K15" s="24"/>
      <c r="L15" s="24"/>
      <c r="M15" s="24"/>
      <c r="N15" s="24"/>
      <c r="O15" s="40">
        <f t="shared" si="1"/>
        <v>28727.17</v>
      </c>
      <c r="P15" s="43">
        <f t="shared" si="2"/>
        <v>0</v>
      </c>
      <c r="Q15" s="43">
        <f t="shared" si="3"/>
        <v>0</v>
      </c>
      <c r="R15" s="43">
        <f t="shared" si="4"/>
        <v>0</v>
      </c>
      <c r="S15" s="43">
        <f t="shared" si="5"/>
        <v>28727.17</v>
      </c>
      <c r="T15" s="43"/>
      <c r="U15" s="43"/>
      <c r="V15" s="43"/>
      <c r="W15" s="43"/>
      <c r="X15" s="24"/>
      <c r="Y15" s="24"/>
      <c r="Z15" s="24"/>
    </row>
    <row r="16" ht="14.25" customHeight="1">
      <c r="A16" s="29" t="s">
        <v>229</v>
      </c>
      <c r="B16" s="88" t="s">
        <v>53</v>
      </c>
      <c r="C16" s="33">
        <v>1379342.69</v>
      </c>
      <c r="D16" s="34">
        <v>1483160.25</v>
      </c>
      <c r="E16" s="34">
        <v>1275161.02</v>
      </c>
      <c r="F16" s="34">
        <v>1668426.25</v>
      </c>
      <c r="G16" s="34">
        <v>1531837.85</v>
      </c>
      <c r="H16" s="34">
        <v>1668365.86</v>
      </c>
      <c r="I16" s="24"/>
      <c r="J16" s="24"/>
      <c r="K16" s="24"/>
      <c r="L16" s="24"/>
      <c r="M16" s="24"/>
      <c r="N16" s="24"/>
      <c r="O16" s="40">
        <f t="shared" si="1"/>
        <v>4137663.96</v>
      </c>
      <c r="P16" s="43">
        <f t="shared" si="2"/>
        <v>4868629.96</v>
      </c>
      <c r="Q16" s="43">
        <f t="shared" si="3"/>
        <v>0</v>
      </c>
      <c r="R16" s="43">
        <f t="shared" si="4"/>
        <v>0</v>
      </c>
      <c r="S16" s="43">
        <f t="shared" si="5"/>
        <v>9006293.92</v>
      </c>
      <c r="T16" s="43">
        <v>8104500.0</v>
      </c>
      <c r="U16" s="43">
        <f>S16-T16</f>
        <v>901793.92</v>
      </c>
      <c r="V16" s="43"/>
      <c r="W16" s="43"/>
      <c r="X16" s="24"/>
      <c r="Y16" s="24"/>
      <c r="Z16" s="24"/>
    </row>
    <row r="17" ht="14.25" customHeight="1" outlineLevel="2">
      <c r="A17" s="46" t="s">
        <v>234</v>
      </c>
      <c r="B17" s="68" t="s">
        <v>235</v>
      </c>
      <c r="C17" s="48">
        <v>670896.37</v>
      </c>
      <c r="D17" s="37">
        <v>550631.43</v>
      </c>
      <c r="E17" s="37">
        <v>659749.75</v>
      </c>
      <c r="F17" s="37">
        <v>662933.9</v>
      </c>
      <c r="G17" s="37">
        <v>572212.66</v>
      </c>
      <c r="H17" s="37">
        <v>608013.49</v>
      </c>
      <c r="I17" s="24"/>
      <c r="J17" s="24"/>
      <c r="K17" s="24"/>
      <c r="L17" s="24"/>
      <c r="M17" s="24"/>
      <c r="N17" s="24"/>
      <c r="O17" s="40">
        <f t="shared" si="1"/>
        <v>1881277.55</v>
      </c>
      <c r="P17" s="43">
        <f t="shared" si="2"/>
        <v>1843160.05</v>
      </c>
      <c r="Q17" s="43">
        <f t="shared" si="3"/>
        <v>0</v>
      </c>
      <c r="R17" s="43">
        <f t="shared" si="4"/>
        <v>0</v>
      </c>
      <c r="S17" s="94">
        <f t="shared" si="5"/>
        <v>3724437.6</v>
      </c>
      <c r="T17" s="95"/>
      <c r="U17" s="43"/>
      <c r="V17" s="43"/>
      <c r="W17" s="43"/>
      <c r="X17" s="24"/>
      <c r="Y17" s="24"/>
      <c r="Z17" s="24"/>
    </row>
    <row r="18" ht="14.25" customHeight="1" outlineLevel="2">
      <c r="A18" s="46" t="s">
        <v>244</v>
      </c>
      <c r="B18" s="47" t="s">
        <v>245</v>
      </c>
      <c r="C18" s="48">
        <v>670896.37</v>
      </c>
      <c r="D18" s="37">
        <v>550631.43</v>
      </c>
      <c r="E18" s="37">
        <v>659749.75</v>
      </c>
      <c r="F18" s="24"/>
      <c r="G18" s="24"/>
      <c r="H18" s="37"/>
      <c r="I18" s="24"/>
      <c r="J18" s="24"/>
      <c r="K18" s="24"/>
      <c r="L18" s="24"/>
      <c r="M18" s="24"/>
      <c r="N18" s="24"/>
      <c r="O18" s="40">
        <f t="shared" si="1"/>
        <v>1881277.55</v>
      </c>
      <c r="P18" s="43">
        <f t="shared" si="2"/>
        <v>0</v>
      </c>
      <c r="Q18" s="43">
        <f t="shared" si="3"/>
        <v>0</v>
      </c>
      <c r="R18" s="43">
        <f t="shared" si="4"/>
        <v>0</v>
      </c>
      <c r="S18" s="43">
        <f t="shared" si="5"/>
        <v>1881277.55</v>
      </c>
      <c r="T18" s="43"/>
      <c r="U18" s="43"/>
      <c r="V18" s="43"/>
      <c r="W18" s="43"/>
      <c r="X18" s="24"/>
      <c r="Y18" s="24"/>
      <c r="Z18" s="24"/>
    </row>
    <row r="19" ht="14.25" customHeight="1" outlineLevel="2">
      <c r="A19" s="46" t="s">
        <v>252</v>
      </c>
      <c r="B19" s="47" t="s">
        <v>254</v>
      </c>
      <c r="C19" s="48">
        <v>670896.37</v>
      </c>
      <c r="D19" s="37">
        <v>550631.43</v>
      </c>
      <c r="E19" s="37">
        <v>659749.75</v>
      </c>
      <c r="F19" s="96"/>
      <c r="G19" s="24"/>
      <c r="H19" s="37"/>
      <c r="I19" s="24"/>
      <c r="J19" s="24"/>
      <c r="K19" s="24"/>
      <c r="L19" s="24"/>
      <c r="M19" s="24"/>
      <c r="N19" s="24"/>
      <c r="O19" s="40">
        <f t="shared" si="1"/>
        <v>1881277.55</v>
      </c>
      <c r="P19" s="43">
        <f t="shared" si="2"/>
        <v>0</v>
      </c>
      <c r="Q19" s="43">
        <f t="shared" si="3"/>
        <v>0</v>
      </c>
      <c r="R19" s="43">
        <f t="shared" si="4"/>
        <v>0</v>
      </c>
      <c r="S19" s="43">
        <f t="shared" si="5"/>
        <v>1881277.55</v>
      </c>
      <c r="T19" s="43"/>
      <c r="U19" s="43"/>
      <c r="V19" s="43"/>
      <c r="W19" s="43"/>
      <c r="X19" s="24"/>
      <c r="Y19" s="24"/>
      <c r="Z19" s="24"/>
    </row>
    <row r="20" ht="14.25" customHeight="1" outlineLevel="2">
      <c r="A20" s="46" t="s">
        <v>262</v>
      </c>
      <c r="B20" s="47" t="s">
        <v>263</v>
      </c>
      <c r="C20" s="48">
        <v>297917.8</v>
      </c>
      <c r="D20" s="37">
        <v>252772.9</v>
      </c>
      <c r="E20" s="97">
        <v>263222.53</v>
      </c>
      <c r="F20" s="24"/>
      <c r="G20" s="24"/>
      <c r="H20" s="37"/>
      <c r="I20" s="24"/>
      <c r="J20" s="24"/>
      <c r="K20" s="24"/>
      <c r="L20" s="24"/>
      <c r="M20" s="24"/>
      <c r="N20" s="24"/>
      <c r="O20" s="40">
        <f t="shared" si="1"/>
        <v>813913.23</v>
      </c>
      <c r="P20" s="43">
        <f t="shared" si="2"/>
        <v>0</v>
      </c>
      <c r="Q20" s="43">
        <f t="shared" si="3"/>
        <v>0</v>
      </c>
      <c r="R20" s="43">
        <f t="shared" si="4"/>
        <v>0</v>
      </c>
      <c r="S20" s="43">
        <f t="shared" si="5"/>
        <v>813913.23</v>
      </c>
      <c r="T20" s="43"/>
      <c r="U20" s="43"/>
      <c r="V20" s="43"/>
      <c r="W20" s="43"/>
      <c r="X20" s="24"/>
      <c r="Y20" s="24"/>
      <c r="Z20" s="24"/>
    </row>
    <row r="21" ht="14.25" customHeight="1" outlineLevel="2">
      <c r="A21" s="46" t="s">
        <v>268</v>
      </c>
      <c r="B21" s="47" t="s">
        <v>269</v>
      </c>
      <c r="C21" s="48">
        <v>88026.4</v>
      </c>
      <c r="D21" s="37">
        <v>65873.66</v>
      </c>
      <c r="E21" s="97">
        <v>63210.84</v>
      </c>
      <c r="F21" s="24"/>
      <c r="G21" s="24"/>
      <c r="H21" s="37"/>
      <c r="I21" s="24"/>
      <c r="J21" s="24"/>
      <c r="K21" s="24"/>
      <c r="L21" s="24"/>
      <c r="M21" s="24"/>
      <c r="N21" s="24"/>
      <c r="O21" s="40">
        <f t="shared" si="1"/>
        <v>217110.9</v>
      </c>
      <c r="P21" s="43">
        <f t="shared" si="2"/>
        <v>0</v>
      </c>
      <c r="Q21" s="43">
        <f t="shared" si="3"/>
        <v>0</v>
      </c>
      <c r="R21" s="43">
        <f t="shared" si="4"/>
        <v>0</v>
      </c>
      <c r="S21" s="43">
        <f t="shared" si="5"/>
        <v>217110.9</v>
      </c>
      <c r="T21" s="43"/>
      <c r="U21" s="43"/>
      <c r="V21" s="43"/>
      <c r="W21" s="43"/>
      <c r="X21" s="24"/>
      <c r="Y21" s="24"/>
      <c r="Z21" s="24"/>
    </row>
    <row r="22" ht="14.25" customHeight="1" outlineLevel="2">
      <c r="A22" s="46" t="s">
        <v>275</v>
      </c>
      <c r="B22" s="47" t="s">
        <v>277</v>
      </c>
      <c r="C22" s="48">
        <v>22923.83</v>
      </c>
      <c r="D22" s="37">
        <v>27467.39</v>
      </c>
      <c r="E22" s="97">
        <v>19568.04</v>
      </c>
      <c r="F22" s="24"/>
      <c r="G22" s="24"/>
      <c r="H22" s="37"/>
      <c r="I22" s="24"/>
      <c r="J22" s="24"/>
      <c r="K22" s="24"/>
      <c r="L22" s="24"/>
      <c r="M22" s="24"/>
      <c r="N22" s="24"/>
      <c r="O22" s="40">
        <f t="shared" si="1"/>
        <v>69959.26</v>
      </c>
      <c r="P22" s="43">
        <f t="shared" si="2"/>
        <v>0</v>
      </c>
      <c r="Q22" s="43">
        <f t="shared" si="3"/>
        <v>0</v>
      </c>
      <c r="R22" s="43">
        <f t="shared" si="4"/>
        <v>0</v>
      </c>
      <c r="S22" s="43">
        <f t="shared" si="5"/>
        <v>69959.26</v>
      </c>
      <c r="T22" s="43"/>
      <c r="U22" s="43"/>
      <c r="V22" s="43"/>
      <c r="W22" s="43"/>
      <c r="X22" s="24"/>
      <c r="Y22" s="24"/>
      <c r="Z22" s="24"/>
    </row>
    <row r="23" ht="14.25" customHeight="1" outlineLevel="2">
      <c r="A23" s="46" t="s">
        <v>284</v>
      </c>
      <c r="B23" s="47" t="s">
        <v>287</v>
      </c>
      <c r="C23" s="48">
        <v>13750.0</v>
      </c>
      <c r="D23" s="37">
        <v>13482.0</v>
      </c>
      <c r="E23" s="97">
        <v>65259.45</v>
      </c>
      <c r="F23" s="24"/>
      <c r="G23" s="24"/>
      <c r="H23" s="37"/>
      <c r="I23" s="24"/>
      <c r="J23" s="24"/>
      <c r="K23" s="24"/>
      <c r="L23" s="24"/>
      <c r="M23" s="24"/>
      <c r="N23" s="24"/>
      <c r="O23" s="40">
        <f t="shared" si="1"/>
        <v>92491.45</v>
      </c>
      <c r="P23" s="43">
        <f t="shared" si="2"/>
        <v>0</v>
      </c>
      <c r="Q23" s="43">
        <f t="shared" si="3"/>
        <v>0</v>
      </c>
      <c r="R23" s="43">
        <f t="shared" si="4"/>
        <v>0</v>
      </c>
      <c r="S23" s="43">
        <f t="shared" si="5"/>
        <v>92491.45</v>
      </c>
      <c r="T23" s="43"/>
      <c r="U23" s="43"/>
      <c r="V23" s="43"/>
      <c r="W23" s="43"/>
      <c r="X23" s="24"/>
      <c r="Y23" s="24"/>
      <c r="Z23" s="24"/>
    </row>
    <row r="24" ht="14.25" customHeight="1" outlineLevel="2">
      <c r="A24" s="46" t="s">
        <v>290</v>
      </c>
      <c r="B24" s="47" t="s">
        <v>292</v>
      </c>
      <c r="C24" s="48">
        <v>164865.21</v>
      </c>
      <c r="D24" s="37">
        <v>127902.66</v>
      </c>
      <c r="E24" s="97">
        <v>172050.49</v>
      </c>
      <c r="F24" s="24"/>
      <c r="G24" s="24"/>
      <c r="H24" s="37"/>
      <c r="I24" s="24"/>
      <c r="J24" s="24"/>
      <c r="K24" s="24"/>
      <c r="L24" s="24"/>
      <c r="M24" s="24"/>
      <c r="N24" s="24"/>
      <c r="O24" s="40">
        <f t="shared" si="1"/>
        <v>464818.36</v>
      </c>
      <c r="P24" s="43">
        <f t="shared" si="2"/>
        <v>0</v>
      </c>
      <c r="Q24" s="43">
        <f t="shared" si="3"/>
        <v>0</v>
      </c>
      <c r="R24" s="43">
        <f t="shared" si="4"/>
        <v>0</v>
      </c>
      <c r="S24" s="43">
        <f t="shared" si="5"/>
        <v>464818.36</v>
      </c>
      <c r="T24" s="43"/>
      <c r="U24" s="43"/>
      <c r="V24" s="43"/>
      <c r="W24" s="43"/>
      <c r="X24" s="24"/>
      <c r="Y24" s="24"/>
      <c r="Z24" s="24"/>
    </row>
    <row r="25" ht="14.25" customHeight="1" outlineLevel="2">
      <c r="A25" s="46" t="s">
        <v>193</v>
      </c>
      <c r="B25" s="47" t="s">
        <v>194</v>
      </c>
      <c r="C25" s="48">
        <v>0.0</v>
      </c>
      <c r="D25" s="37">
        <v>0.0</v>
      </c>
      <c r="E25" s="97">
        <v>29157.27</v>
      </c>
      <c r="F25" s="24"/>
      <c r="G25" s="24"/>
      <c r="H25" s="37"/>
      <c r="I25" s="24"/>
      <c r="J25" s="24"/>
      <c r="K25" s="24"/>
      <c r="L25" s="24"/>
      <c r="M25" s="24"/>
      <c r="N25" s="24"/>
      <c r="O25" s="40">
        <f t="shared" si="1"/>
        <v>29157.27</v>
      </c>
      <c r="P25" s="43">
        <f t="shared" si="2"/>
        <v>0</v>
      </c>
      <c r="Q25" s="43">
        <f t="shared" si="3"/>
        <v>0</v>
      </c>
      <c r="R25" s="43">
        <f t="shared" si="4"/>
        <v>0</v>
      </c>
      <c r="S25" s="43">
        <f t="shared" si="5"/>
        <v>29157.27</v>
      </c>
      <c r="T25" s="43"/>
      <c r="U25" s="43"/>
      <c r="V25" s="43"/>
      <c r="W25" s="43"/>
      <c r="X25" s="24"/>
      <c r="Y25" s="24"/>
      <c r="Z25" s="24"/>
    </row>
    <row r="26" ht="14.25" customHeight="1" outlineLevel="2">
      <c r="A26" s="46" t="s">
        <v>201</v>
      </c>
      <c r="B26" s="47" t="s">
        <v>202</v>
      </c>
      <c r="C26" s="48">
        <v>0.0</v>
      </c>
      <c r="D26" s="37">
        <v>0.0</v>
      </c>
      <c r="E26" s="97">
        <v>19601.83</v>
      </c>
      <c r="F26" s="24"/>
      <c r="G26" s="24"/>
      <c r="H26" s="37"/>
      <c r="I26" s="24"/>
      <c r="J26" s="24"/>
      <c r="K26" s="24"/>
      <c r="L26" s="24"/>
      <c r="M26" s="24"/>
      <c r="N26" s="24"/>
      <c r="O26" s="40">
        <f t="shared" si="1"/>
        <v>19601.83</v>
      </c>
      <c r="P26" s="43">
        <f t="shared" si="2"/>
        <v>0</v>
      </c>
      <c r="Q26" s="43">
        <f t="shared" si="3"/>
        <v>0</v>
      </c>
      <c r="R26" s="43">
        <f t="shared" si="4"/>
        <v>0</v>
      </c>
      <c r="S26" s="43">
        <f t="shared" si="5"/>
        <v>19601.83</v>
      </c>
      <c r="T26" s="43"/>
      <c r="U26" s="43"/>
      <c r="V26" s="43"/>
      <c r="W26" s="43"/>
      <c r="X26" s="24"/>
      <c r="Y26" s="24"/>
      <c r="Z26" s="24"/>
    </row>
    <row r="27" ht="14.25" customHeight="1" outlineLevel="2">
      <c r="A27" s="46" t="s">
        <v>307</v>
      </c>
      <c r="B27" s="47" t="s">
        <v>309</v>
      </c>
      <c r="C27" s="48">
        <v>53281.25</v>
      </c>
      <c r="D27" s="37">
        <v>26995.44</v>
      </c>
      <c r="E27" s="97">
        <v>9267.0</v>
      </c>
      <c r="F27" s="24"/>
      <c r="G27" s="24"/>
      <c r="H27" s="37"/>
      <c r="I27" s="24"/>
      <c r="J27" s="24"/>
      <c r="K27" s="24"/>
      <c r="L27" s="24"/>
      <c r="M27" s="24"/>
      <c r="N27" s="24"/>
      <c r="O27" s="40">
        <f t="shared" si="1"/>
        <v>89543.69</v>
      </c>
      <c r="P27" s="43">
        <f t="shared" si="2"/>
        <v>0</v>
      </c>
      <c r="Q27" s="43">
        <f t="shared" si="3"/>
        <v>0</v>
      </c>
      <c r="R27" s="43">
        <f t="shared" si="4"/>
        <v>0</v>
      </c>
      <c r="S27" s="43">
        <f t="shared" si="5"/>
        <v>89543.69</v>
      </c>
      <c r="T27" s="43"/>
      <c r="U27" s="43"/>
      <c r="V27" s="43"/>
      <c r="W27" s="43"/>
      <c r="X27" s="24"/>
      <c r="Y27" s="24"/>
      <c r="Z27" s="24"/>
    </row>
    <row r="28" ht="14.25" customHeight="1" outlineLevel="2">
      <c r="A28" s="46" t="s">
        <v>315</v>
      </c>
      <c r="B28" s="47" t="s">
        <v>316</v>
      </c>
      <c r="C28" s="48">
        <v>1337.25</v>
      </c>
      <c r="D28" s="37">
        <v>868.1</v>
      </c>
      <c r="E28" s="97">
        <v>-1260.57</v>
      </c>
      <c r="F28" s="24"/>
      <c r="G28" s="24"/>
      <c r="H28" s="37"/>
      <c r="I28" s="24"/>
      <c r="J28" s="24"/>
      <c r="K28" s="24"/>
      <c r="L28" s="24"/>
      <c r="M28" s="24"/>
      <c r="N28" s="24"/>
      <c r="O28" s="40">
        <f t="shared" si="1"/>
        <v>944.78</v>
      </c>
      <c r="P28" s="43">
        <f t="shared" si="2"/>
        <v>0</v>
      </c>
      <c r="Q28" s="43">
        <f t="shared" si="3"/>
        <v>0</v>
      </c>
      <c r="R28" s="43">
        <f t="shared" si="4"/>
        <v>0</v>
      </c>
      <c r="S28" s="43">
        <f t="shared" si="5"/>
        <v>944.78</v>
      </c>
      <c r="T28" s="43"/>
      <c r="U28" s="43"/>
      <c r="V28" s="43"/>
      <c r="W28" s="43"/>
      <c r="X28" s="24"/>
      <c r="Y28" s="24"/>
      <c r="Z28" s="24"/>
    </row>
    <row r="29" ht="14.25" customHeight="1" outlineLevel="2">
      <c r="A29" s="46" t="s">
        <v>321</v>
      </c>
      <c r="B29" s="47" t="s">
        <v>322</v>
      </c>
      <c r="C29" s="48">
        <v>5113.23</v>
      </c>
      <c r="D29" s="37">
        <v>12463.33</v>
      </c>
      <c r="E29" s="97">
        <v>4355.24</v>
      </c>
      <c r="F29" s="24"/>
      <c r="G29" s="24"/>
      <c r="H29" s="37"/>
      <c r="I29" s="24"/>
      <c r="J29" s="24"/>
      <c r="K29" s="24"/>
      <c r="L29" s="24"/>
      <c r="M29" s="24"/>
      <c r="N29" s="24"/>
      <c r="O29" s="40">
        <f t="shared" si="1"/>
        <v>21931.8</v>
      </c>
      <c r="P29" s="43">
        <f t="shared" si="2"/>
        <v>0</v>
      </c>
      <c r="Q29" s="43">
        <f t="shared" si="3"/>
        <v>0</v>
      </c>
      <c r="R29" s="43">
        <f t="shared" si="4"/>
        <v>0</v>
      </c>
      <c r="S29" s="43">
        <f t="shared" si="5"/>
        <v>21931.8</v>
      </c>
      <c r="T29" s="43"/>
      <c r="U29" s="43"/>
      <c r="V29" s="43"/>
      <c r="W29" s="43"/>
      <c r="X29" s="24"/>
      <c r="Y29" s="24"/>
      <c r="Z29" s="24"/>
    </row>
    <row r="30" ht="14.25" customHeight="1" outlineLevel="2">
      <c r="A30" s="46" t="s">
        <v>327</v>
      </c>
      <c r="B30" s="47" t="s">
        <v>328</v>
      </c>
      <c r="C30" s="48">
        <v>23681.4</v>
      </c>
      <c r="D30" s="37">
        <v>22805.95</v>
      </c>
      <c r="E30" s="97">
        <v>15330.41</v>
      </c>
      <c r="F30" s="24"/>
      <c r="G30" s="24"/>
      <c r="H30" s="37"/>
      <c r="I30" s="24"/>
      <c r="J30" s="24"/>
      <c r="K30" s="24"/>
      <c r="L30" s="24"/>
      <c r="M30" s="24"/>
      <c r="N30" s="24"/>
      <c r="O30" s="40">
        <f t="shared" si="1"/>
        <v>61817.76</v>
      </c>
      <c r="P30" s="43">
        <f t="shared" si="2"/>
        <v>0</v>
      </c>
      <c r="Q30" s="43">
        <f t="shared" si="3"/>
        <v>0</v>
      </c>
      <c r="R30" s="43">
        <f t="shared" si="4"/>
        <v>0</v>
      </c>
      <c r="S30" s="43">
        <f t="shared" si="5"/>
        <v>61817.76</v>
      </c>
      <c r="T30" s="43"/>
      <c r="U30" s="43"/>
      <c r="V30" s="43"/>
      <c r="W30" s="43"/>
      <c r="X30" s="24"/>
      <c r="Y30" s="24"/>
      <c r="Z30" s="24"/>
    </row>
    <row r="31" ht="14.25" customHeight="1">
      <c r="A31" s="29" t="s">
        <v>333</v>
      </c>
      <c r="B31" s="88" t="s">
        <v>334</v>
      </c>
      <c r="C31" s="33">
        <v>708446.32</v>
      </c>
      <c r="D31" s="34">
        <v>932528.82</v>
      </c>
      <c r="E31" s="34">
        <v>615411.27</v>
      </c>
      <c r="F31" s="34">
        <v>1005492.35</v>
      </c>
      <c r="G31" s="34">
        <v>959625.19</v>
      </c>
      <c r="H31" s="34">
        <v>1060352.37</v>
      </c>
      <c r="I31" s="96"/>
      <c r="J31" s="24"/>
      <c r="K31" s="24"/>
      <c r="L31" s="24"/>
      <c r="M31" s="24"/>
      <c r="N31" s="24"/>
      <c r="O31" s="40">
        <f t="shared" si="1"/>
        <v>2256386.41</v>
      </c>
      <c r="P31" s="43">
        <f t="shared" si="2"/>
        <v>3025469.91</v>
      </c>
      <c r="Q31" s="43">
        <f t="shared" si="3"/>
        <v>0</v>
      </c>
      <c r="R31" s="43">
        <f t="shared" si="4"/>
        <v>0</v>
      </c>
      <c r="S31" s="43">
        <f t="shared" si="5"/>
        <v>5281856.32</v>
      </c>
      <c r="T31" s="43">
        <v>4706000.0</v>
      </c>
      <c r="U31" s="43">
        <f>S31-T31</f>
        <v>575856.32</v>
      </c>
      <c r="V31" s="43"/>
      <c r="W31" s="43"/>
      <c r="X31" s="24"/>
      <c r="Y31" s="24"/>
      <c r="Z31" s="24"/>
    </row>
    <row r="32" ht="14.25" customHeight="1" outlineLevel="1">
      <c r="A32" s="46" t="s">
        <v>341</v>
      </c>
      <c r="B32" s="68" t="s">
        <v>342</v>
      </c>
      <c r="C32" s="48">
        <v>539659.25</v>
      </c>
      <c r="D32" s="37">
        <v>824192.58</v>
      </c>
      <c r="E32" s="37">
        <v>574253.27</v>
      </c>
      <c r="F32" s="37">
        <v>501883.86</v>
      </c>
      <c r="G32" s="37">
        <v>544990.72</v>
      </c>
      <c r="H32" s="37">
        <v>636234.54</v>
      </c>
      <c r="I32" s="24"/>
      <c r="J32" s="24"/>
      <c r="K32" s="24"/>
      <c r="L32" s="24"/>
      <c r="M32" s="24"/>
      <c r="N32" s="24"/>
      <c r="O32" s="40">
        <f t="shared" si="1"/>
        <v>1938105.1</v>
      </c>
      <c r="P32" s="43">
        <f t="shared" si="2"/>
        <v>1683109.12</v>
      </c>
      <c r="Q32" s="43">
        <f t="shared" si="3"/>
        <v>0</v>
      </c>
      <c r="R32" s="43">
        <f t="shared" si="4"/>
        <v>0</v>
      </c>
      <c r="S32" s="94">
        <f t="shared" si="5"/>
        <v>3621214.22</v>
      </c>
      <c r="T32" s="43"/>
      <c r="U32" s="43"/>
      <c r="V32" s="43"/>
      <c r="W32" s="43"/>
      <c r="X32" s="24"/>
      <c r="Y32" s="24"/>
      <c r="Z32" s="24"/>
    </row>
    <row r="33" ht="14.25" customHeight="1" outlineLevel="1">
      <c r="A33" s="46" t="s">
        <v>348</v>
      </c>
      <c r="B33" s="47" t="s">
        <v>349</v>
      </c>
      <c r="C33" s="48">
        <v>378622.09</v>
      </c>
      <c r="D33" s="37">
        <v>641868.66</v>
      </c>
      <c r="E33" s="37">
        <v>416957.3</v>
      </c>
      <c r="F33" s="24"/>
      <c r="G33" s="24"/>
      <c r="H33" s="37"/>
      <c r="I33" s="24"/>
      <c r="J33" s="24"/>
      <c r="K33" s="24"/>
      <c r="L33" s="24"/>
      <c r="M33" s="24"/>
      <c r="N33" s="24"/>
      <c r="O33" s="40">
        <f t="shared" si="1"/>
        <v>1437448.05</v>
      </c>
      <c r="P33" s="43">
        <f t="shared" si="2"/>
        <v>0</v>
      </c>
      <c r="Q33" s="43">
        <f t="shared" si="3"/>
        <v>0</v>
      </c>
      <c r="R33" s="43">
        <f t="shared" si="4"/>
        <v>0</v>
      </c>
      <c r="S33" s="43">
        <f t="shared" si="5"/>
        <v>1437448.05</v>
      </c>
      <c r="T33" s="43"/>
      <c r="U33" s="43"/>
      <c r="V33" s="43"/>
      <c r="W33" s="43"/>
      <c r="X33" s="24"/>
      <c r="Y33" s="24"/>
      <c r="Z33" s="24"/>
    </row>
    <row r="34" ht="14.25" customHeight="1" outlineLevel="1">
      <c r="A34" s="46" t="s">
        <v>356</v>
      </c>
      <c r="B34" s="47" t="s">
        <v>357</v>
      </c>
      <c r="C34" s="48">
        <v>304789.01</v>
      </c>
      <c r="D34" s="37">
        <v>614109.22</v>
      </c>
      <c r="E34" s="37">
        <v>400240.46</v>
      </c>
      <c r="F34" s="24"/>
      <c r="G34" s="24"/>
      <c r="H34" s="37"/>
      <c r="I34" s="24"/>
      <c r="J34" s="24"/>
      <c r="K34" s="24"/>
      <c r="L34" s="24"/>
      <c r="M34" s="24"/>
      <c r="N34" s="24"/>
      <c r="O34" s="40">
        <f t="shared" si="1"/>
        <v>1319138.69</v>
      </c>
      <c r="P34" s="43">
        <f t="shared" si="2"/>
        <v>0</v>
      </c>
      <c r="Q34" s="43">
        <f t="shared" si="3"/>
        <v>0</v>
      </c>
      <c r="R34" s="43">
        <f t="shared" si="4"/>
        <v>0</v>
      </c>
      <c r="S34" s="43">
        <f t="shared" si="5"/>
        <v>1319138.69</v>
      </c>
      <c r="T34" s="43"/>
      <c r="U34" s="43"/>
      <c r="V34" s="43"/>
      <c r="W34" s="43"/>
      <c r="X34" s="24"/>
      <c r="Y34" s="24"/>
      <c r="Z34" s="24"/>
    </row>
    <row r="35" ht="14.25" customHeight="1" outlineLevel="1">
      <c r="A35" s="46" t="s">
        <v>360</v>
      </c>
      <c r="B35" s="47" t="s">
        <v>361</v>
      </c>
      <c r="C35" s="48">
        <v>108353.66</v>
      </c>
      <c r="D35" s="37">
        <v>106723.65</v>
      </c>
      <c r="E35" s="37">
        <v>66104.57</v>
      </c>
      <c r="F35" s="24"/>
      <c r="G35" s="24"/>
      <c r="H35" s="37"/>
      <c r="I35" s="24"/>
      <c r="J35" s="24"/>
      <c r="K35" s="24"/>
      <c r="L35" s="24"/>
      <c r="M35" s="24"/>
      <c r="N35" s="24"/>
      <c r="O35" s="40">
        <f t="shared" si="1"/>
        <v>281181.88</v>
      </c>
      <c r="P35" s="43">
        <f t="shared" si="2"/>
        <v>0</v>
      </c>
      <c r="Q35" s="43">
        <f t="shared" si="3"/>
        <v>0</v>
      </c>
      <c r="R35" s="43">
        <f t="shared" si="4"/>
        <v>0</v>
      </c>
      <c r="S35" s="43">
        <f t="shared" si="5"/>
        <v>281181.88</v>
      </c>
      <c r="T35" s="43"/>
      <c r="U35" s="43"/>
      <c r="V35" s="43"/>
      <c r="W35" s="43"/>
      <c r="X35" s="24"/>
      <c r="Y35" s="24"/>
      <c r="Z35" s="24"/>
    </row>
    <row r="36" ht="14.25" customHeight="1" outlineLevel="1">
      <c r="A36" s="46" t="s">
        <v>379</v>
      </c>
      <c r="B36" s="47" t="s">
        <v>380</v>
      </c>
      <c r="C36" s="48">
        <v>88794.54</v>
      </c>
      <c r="D36" s="71">
        <v>405733.11</v>
      </c>
      <c r="E36" s="37">
        <v>263222.53</v>
      </c>
      <c r="F36" s="24"/>
      <c r="G36" s="24"/>
      <c r="H36" s="37"/>
      <c r="I36" s="24"/>
      <c r="J36" s="24"/>
      <c r="K36" s="24"/>
      <c r="L36" s="24"/>
      <c r="M36" s="24"/>
      <c r="N36" s="24"/>
      <c r="O36" s="40">
        <f t="shared" si="1"/>
        <v>757750.18</v>
      </c>
      <c r="P36" s="43">
        <f t="shared" si="2"/>
        <v>0</v>
      </c>
      <c r="Q36" s="43">
        <f t="shared" si="3"/>
        <v>0</v>
      </c>
      <c r="R36" s="43">
        <f t="shared" si="4"/>
        <v>0</v>
      </c>
      <c r="S36" s="43">
        <f t="shared" si="5"/>
        <v>757750.18</v>
      </c>
      <c r="T36" s="43"/>
      <c r="U36" s="43"/>
      <c r="V36" s="43"/>
      <c r="W36" s="43"/>
      <c r="X36" s="24"/>
      <c r="Y36" s="24"/>
      <c r="Z36" s="24"/>
    </row>
    <row r="37" ht="14.25" customHeight="1" outlineLevel="1">
      <c r="A37" s="46" t="s">
        <v>388</v>
      </c>
      <c r="B37" s="47" t="s">
        <v>389</v>
      </c>
      <c r="C37" s="48">
        <v>66215.21</v>
      </c>
      <c r="D37" s="37">
        <v>64715.21</v>
      </c>
      <c r="E37" s="37">
        <v>64715.21</v>
      </c>
      <c r="F37" s="24"/>
      <c r="G37" s="24"/>
      <c r="H37" s="37"/>
      <c r="I37" s="24"/>
      <c r="J37" s="24"/>
      <c r="K37" s="24"/>
      <c r="L37" s="24"/>
      <c r="M37" s="24"/>
      <c r="N37" s="24"/>
      <c r="O37" s="40">
        <f t="shared" si="1"/>
        <v>195645.63</v>
      </c>
      <c r="P37" s="43">
        <f t="shared" si="2"/>
        <v>0</v>
      </c>
      <c r="Q37" s="43">
        <f t="shared" si="3"/>
        <v>0</v>
      </c>
      <c r="R37" s="43">
        <f t="shared" si="4"/>
        <v>0</v>
      </c>
      <c r="S37" s="43">
        <f t="shared" si="5"/>
        <v>195645.63</v>
      </c>
      <c r="T37" s="43"/>
      <c r="U37" s="43"/>
      <c r="V37" s="43"/>
      <c r="W37" s="43"/>
      <c r="X37" s="24"/>
      <c r="Y37" s="24"/>
      <c r="Z37" s="24"/>
    </row>
    <row r="38" ht="14.25" customHeight="1" outlineLevel="1">
      <c r="A38" s="46" t="s">
        <v>402</v>
      </c>
      <c r="B38" s="47" t="s">
        <v>403</v>
      </c>
      <c r="C38" s="48">
        <v>0.0</v>
      </c>
      <c r="D38" s="37">
        <v>106.3</v>
      </c>
      <c r="E38" s="37">
        <v>0.0</v>
      </c>
      <c r="F38" s="24"/>
      <c r="G38" s="24"/>
      <c r="H38" s="37"/>
      <c r="I38" s="24"/>
      <c r="J38" s="24"/>
      <c r="K38" s="24"/>
      <c r="L38" s="24"/>
      <c r="M38" s="24"/>
      <c r="N38" s="24"/>
      <c r="O38" s="40">
        <f t="shared" si="1"/>
        <v>106.3</v>
      </c>
      <c r="P38" s="43">
        <f t="shared" si="2"/>
        <v>0</v>
      </c>
      <c r="Q38" s="43">
        <f t="shared" si="3"/>
        <v>0</v>
      </c>
      <c r="R38" s="43">
        <f t="shared" si="4"/>
        <v>0</v>
      </c>
      <c r="S38" s="43">
        <f t="shared" si="5"/>
        <v>106.3</v>
      </c>
      <c r="T38" s="43"/>
      <c r="U38" s="43"/>
      <c r="V38" s="43"/>
      <c r="W38" s="43"/>
      <c r="X38" s="24"/>
      <c r="Y38" s="24"/>
      <c r="Z38" s="24"/>
    </row>
    <row r="39" ht="14.25" customHeight="1" outlineLevel="1">
      <c r="A39" s="46" t="s">
        <v>407</v>
      </c>
      <c r="B39" s="47" t="s">
        <v>409</v>
      </c>
      <c r="C39" s="48">
        <v>3152.09</v>
      </c>
      <c r="D39" s="37">
        <v>3440.66</v>
      </c>
      <c r="E39" s="37">
        <v>3440.66</v>
      </c>
      <c r="F39" s="24"/>
      <c r="G39" s="24"/>
      <c r="H39" s="37"/>
      <c r="I39" s="24"/>
      <c r="J39" s="24"/>
      <c r="K39" s="24"/>
      <c r="L39" s="24"/>
      <c r="M39" s="24"/>
      <c r="N39" s="24"/>
      <c r="O39" s="40">
        <f t="shared" si="1"/>
        <v>10033.41</v>
      </c>
      <c r="P39" s="43">
        <f t="shared" si="2"/>
        <v>0</v>
      </c>
      <c r="Q39" s="43">
        <f t="shared" si="3"/>
        <v>0</v>
      </c>
      <c r="R39" s="43">
        <f t="shared" si="4"/>
        <v>0</v>
      </c>
      <c r="S39" s="43">
        <f t="shared" si="5"/>
        <v>10033.41</v>
      </c>
      <c r="T39" s="43"/>
      <c r="U39" s="43"/>
      <c r="V39" s="43"/>
      <c r="W39" s="43"/>
      <c r="X39" s="24"/>
      <c r="Y39" s="24"/>
      <c r="Z39" s="24"/>
    </row>
    <row r="40" ht="14.25" customHeight="1" outlineLevel="1">
      <c r="A40" s="46" t="s">
        <v>414</v>
      </c>
      <c r="B40" s="47" t="s">
        <v>415</v>
      </c>
      <c r="C40" s="48">
        <v>0.0</v>
      </c>
      <c r="D40" s="37">
        <v>0.0</v>
      </c>
      <c r="E40" s="37">
        <v>430.0</v>
      </c>
      <c r="F40" s="24"/>
      <c r="G40" s="24"/>
      <c r="H40" s="37"/>
      <c r="I40" s="24"/>
      <c r="J40" s="24"/>
      <c r="K40" s="24"/>
      <c r="L40" s="24"/>
      <c r="M40" s="24"/>
      <c r="N40" s="24"/>
      <c r="O40" s="40">
        <f t="shared" si="1"/>
        <v>430</v>
      </c>
      <c r="P40" s="43">
        <f t="shared" si="2"/>
        <v>0</v>
      </c>
      <c r="Q40" s="43">
        <f t="shared" si="3"/>
        <v>0</v>
      </c>
      <c r="R40" s="43">
        <f t="shared" si="4"/>
        <v>0</v>
      </c>
      <c r="S40" s="43">
        <f t="shared" si="5"/>
        <v>430</v>
      </c>
      <c r="T40" s="43"/>
      <c r="U40" s="43"/>
      <c r="V40" s="43"/>
      <c r="W40" s="43"/>
      <c r="X40" s="24"/>
      <c r="Y40" s="24"/>
      <c r="Z40" s="24"/>
    </row>
    <row r="41" ht="14.25" customHeight="1" outlineLevel="1">
      <c r="A41" s="46" t="s">
        <v>433</v>
      </c>
      <c r="B41" s="47" t="s">
        <v>434</v>
      </c>
      <c r="C41" s="48">
        <v>8292.53</v>
      </c>
      <c r="D41" s="37">
        <v>10263.45</v>
      </c>
      <c r="E41" s="37">
        <v>16753.59</v>
      </c>
      <c r="F41" s="24"/>
      <c r="G41" s="24"/>
      <c r="H41" s="37"/>
      <c r="I41" s="24"/>
      <c r="J41" s="24"/>
      <c r="K41" s="24"/>
      <c r="L41" s="24"/>
      <c r="M41" s="24"/>
      <c r="N41" s="24"/>
      <c r="O41" s="40">
        <f t="shared" si="1"/>
        <v>35309.57</v>
      </c>
      <c r="P41" s="43">
        <f t="shared" si="2"/>
        <v>0</v>
      </c>
      <c r="Q41" s="43">
        <f t="shared" si="3"/>
        <v>0</v>
      </c>
      <c r="R41" s="43">
        <f t="shared" si="4"/>
        <v>0</v>
      </c>
      <c r="S41" s="43">
        <f t="shared" si="5"/>
        <v>35309.57</v>
      </c>
      <c r="T41" s="43"/>
      <c r="U41" s="43"/>
      <c r="V41" s="43"/>
      <c r="W41" s="43"/>
      <c r="X41" s="24"/>
      <c r="Y41" s="24"/>
      <c r="Z41" s="24"/>
    </row>
    <row r="42" ht="14.25" customHeight="1" outlineLevel="1">
      <c r="A42" s="46" t="s">
        <v>444</v>
      </c>
      <c r="B42" s="47" t="s">
        <v>445</v>
      </c>
      <c r="C42" s="48">
        <v>6156.0</v>
      </c>
      <c r="D42" s="37">
        <v>6414.23</v>
      </c>
      <c r="E42" s="37">
        <v>8692.82</v>
      </c>
      <c r="F42" s="24"/>
      <c r="G42" s="24"/>
      <c r="H42" s="37"/>
      <c r="I42" s="24"/>
      <c r="J42" s="24"/>
      <c r="K42" s="24"/>
      <c r="L42" s="24"/>
      <c r="M42" s="24"/>
      <c r="N42" s="24"/>
      <c r="O42" s="40">
        <f t="shared" si="1"/>
        <v>21263.05</v>
      </c>
      <c r="P42" s="43">
        <f t="shared" si="2"/>
        <v>0</v>
      </c>
      <c r="Q42" s="43">
        <f t="shared" si="3"/>
        <v>0</v>
      </c>
      <c r="R42" s="43">
        <f t="shared" si="4"/>
        <v>0</v>
      </c>
      <c r="S42" s="43">
        <f t="shared" si="5"/>
        <v>21263.05</v>
      </c>
      <c r="T42" s="43"/>
      <c r="U42" s="43"/>
      <c r="V42" s="43"/>
      <c r="W42" s="43"/>
      <c r="X42" s="24"/>
      <c r="Y42" s="24"/>
      <c r="Z42" s="24"/>
    </row>
    <row r="43" ht="14.25" customHeight="1" outlineLevel="1">
      <c r="A43" s="46" t="s">
        <v>453</v>
      </c>
      <c r="B43" s="47" t="s">
        <v>454</v>
      </c>
      <c r="C43" s="48">
        <v>1520.57</v>
      </c>
      <c r="D43" s="37">
        <v>1364.34</v>
      </c>
      <c r="E43" s="37">
        <v>1523.74</v>
      </c>
      <c r="F43" s="24"/>
      <c r="G43" s="24"/>
      <c r="H43" s="37"/>
      <c r="I43" s="24"/>
      <c r="J43" s="24"/>
      <c r="K43" s="24"/>
      <c r="L43" s="24"/>
      <c r="M43" s="24"/>
      <c r="N43" s="24"/>
      <c r="O43" s="40">
        <f t="shared" si="1"/>
        <v>4408.65</v>
      </c>
      <c r="P43" s="43">
        <f t="shared" si="2"/>
        <v>0</v>
      </c>
      <c r="Q43" s="43">
        <f t="shared" si="3"/>
        <v>0</v>
      </c>
      <c r="R43" s="43">
        <f t="shared" si="4"/>
        <v>0</v>
      </c>
      <c r="S43" s="43">
        <f t="shared" si="5"/>
        <v>4408.65</v>
      </c>
      <c r="T43" s="43"/>
      <c r="U43" s="43"/>
      <c r="V43" s="43"/>
      <c r="W43" s="43"/>
      <c r="X43" s="24"/>
      <c r="Y43" s="24"/>
      <c r="Z43" s="24"/>
    </row>
    <row r="44" ht="14.25" customHeight="1" outlineLevel="1">
      <c r="A44" s="46" t="s">
        <v>461</v>
      </c>
      <c r="B44" s="47" t="s">
        <v>463</v>
      </c>
      <c r="C44" s="48">
        <v>3036.0</v>
      </c>
      <c r="D44" s="37">
        <v>3036.0</v>
      </c>
      <c r="E44" s="37">
        <v>3036.0</v>
      </c>
      <c r="F44" s="24"/>
      <c r="G44" s="24"/>
      <c r="H44" s="37"/>
      <c r="I44" s="24"/>
      <c r="J44" s="24"/>
      <c r="K44" s="24"/>
      <c r="L44" s="24"/>
      <c r="M44" s="24"/>
      <c r="N44" s="24"/>
      <c r="O44" s="40">
        <f t="shared" si="1"/>
        <v>9108</v>
      </c>
      <c r="P44" s="43">
        <f t="shared" si="2"/>
        <v>0</v>
      </c>
      <c r="Q44" s="43">
        <f t="shared" si="3"/>
        <v>0</v>
      </c>
      <c r="R44" s="43">
        <f t="shared" si="4"/>
        <v>0</v>
      </c>
      <c r="S44" s="43">
        <f t="shared" si="5"/>
        <v>9108</v>
      </c>
      <c r="T44" s="43"/>
      <c r="U44" s="43"/>
      <c r="V44" s="43"/>
      <c r="W44" s="43"/>
      <c r="X44" s="24"/>
      <c r="Y44" s="24"/>
      <c r="Z44" s="24"/>
    </row>
    <row r="45" ht="14.25" customHeight="1" outlineLevel="1">
      <c r="A45" s="46" t="s">
        <v>468</v>
      </c>
      <c r="B45" s="47" t="s">
        <v>469</v>
      </c>
      <c r="C45" s="48">
        <v>2835.54</v>
      </c>
      <c r="D45" s="37">
        <v>754.05</v>
      </c>
      <c r="E45" s="37">
        <v>170.52</v>
      </c>
      <c r="F45" s="24"/>
      <c r="G45" s="24"/>
      <c r="H45" s="37"/>
      <c r="I45" s="24"/>
      <c r="J45" s="24"/>
      <c r="K45" s="24"/>
      <c r="L45" s="24"/>
      <c r="M45" s="24"/>
      <c r="N45" s="24"/>
      <c r="O45" s="40">
        <f t="shared" si="1"/>
        <v>3760.11</v>
      </c>
      <c r="P45" s="43">
        <f t="shared" si="2"/>
        <v>0</v>
      </c>
      <c r="Q45" s="43">
        <f t="shared" si="3"/>
        <v>0</v>
      </c>
      <c r="R45" s="43">
        <f t="shared" si="4"/>
        <v>0</v>
      </c>
      <c r="S45" s="43">
        <f t="shared" si="5"/>
        <v>3760.11</v>
      </c>
      <c r="T45" s="43"/>
      <c r="U45" s="43"/>
      <c r="V45" s="43"/>
      <c r="W45" s="43"/>
      <c r="X45" s="24"/>
      <c r="Y45" s="24"/>
      <c r="Z45" s="24"/>
    </row>
    <row r="46" ht="14.25" customHeight="1" outlineLevel="1">
      <c r="A46" s="46" t="s">
        <v>484</v>
      </c>
      <c r="B46" s="47" t="s">
        <v>485</v>
      </c>
      <c r="C46" s="48">
        <v>888.24</v>
      </c>
      <c r="D46" s="37">
        <v>888.24</v>
      </c>
      <c r="E46" s="37">
        <v>888.24</v>
      </c>
      <c r="F46" s="24"/>
      <c r="G46" s="24"/>
      <c r="H46" s="37"/>
      <c r="I46" s="24"/>
      <c r="J46" s="24"/>
      <c r="K46" s="24"/>
      <c r="L46" s="24"/>
      <c r="M46" s="24"/>
      <c r="N46" s="24"/>
      <c r="O46" s="40">
        <f t="shared" si="1"/>
        <v>2664.72</v>
      </c>
      <c r="P46" s="43">
        <f t="shared" si="2"/>
        <v>0</v>
      </c>
      <c r="Q46" s="43">
        <f t="shared" si="3"/>
        <v>0</v>
      </c>
      <c r="R46" s="43">
        <f t="shared" si="4"/>
        <v>0</v>
      </c>
      <c r="S46" s="43">
        <f t="shared" si="5"/>
        <v>2664.72</v>
      </c>
      <c r="T46" s="43"/>
      <c r="U46" s="43"/>
      <c r="V46" s="43"/>
      <c r="W46" s="43"/>
      <c r="X46" s="24"/>
      <c r="Y46" s="24"/>
      <c r="Z46" s="24"/>
    </row>
    <row r="47" ht="14.25" customHeight="1" outlineLevel="1">
      <c r="A47" s="46" t="s">
        <v>487</v>
      </c>
      <c r="B47" s="47" t="s">
        <v>488</v>
      </c>
      <c r="C47" s="48">
        <v>0.0</v>
      </c>
      <c r="D47" s="37">
        <v>757.15</v>
      </c>
      <c r="E47" s="37">
        <v>284.0</v>
      </c>
      <c r="F47" s="24"/>
      <c r="G47" s="24"/>
      <c r="H47" s="37"/>
      <c r="I47" s="24"/>
      <c r="J47" s="24"/>
      <c r="K47" s="24"/>
      <c r="L47" s="24"/>
      <c r="M47" s="24"/>
      <c r="N47" s="24"/>
      <c r="O47" s="40">
        <f t="shared" si="1"/>
        <v>1041.15</v>
      </c>
      <c r="P47" s="43">
        <f t="shared" si="2"/>
        <v>0</v>
      </c>
      <c r="Q47" s="43">
        <f t="shared" si="3"/>
        <v>0</v>
      </c>
      <c r="R47" s="43">
        <f t="shared" si="4"/>
        <v>0</v>
      </c>
      <c r="S47" s="43">
        <f t="shared" si="5"/>
        <v>1041.15</v>
      </c>
      <c r="T47" s="43"/>
      <c r="U47" s="43"/>
      <c r="V47" s="43"/>
      <c r="W47" s="43"/>
      <c r="X47" s="24"/>
      <c r="Y47" s="24"/>
      <c r="Z47" s="24"/>
    </row>
    <row r="48" ht="14.25" customHeight="1" outlineLevel="1">
      <c r="A48" s="46" t="s">
        <v>264</v>
      </c>
      <c r="B48" s="47" t="s">
        <v>265</v>
      </c>
      <c r="C48" s="48">
        <v>5610.0</v>
      </c>
      <c r="D48" s="37">
        <v>0.0</v>
      </c>
      <c r="E48" s="37">
        <v>0.0</v>
      </c>
      <c r="F48" s="24"/>
      <c r="G48" s="24"/>
      <c r="H48" s="37"/>
      <c r="I48" s="24"/>
      <c r="J48" s="24"/>
      <c r="K48" s="24"/>
      <c r="L48" s="24"/>
      <c r="M48" s="24"/>
      <c r="N48" s="24"/>
      <c r="O48" s="40">
        <f t="shared" si="1"/>
        <v>5610</v>
      </c>
      <c r="P48" s="43">
        <f t="shared" si="2"/>
        <v>0</v>
      </c>
      <c r="Q48" s="43">
        <f t="shared" si="3"/>
        <v>0</v>
      </c>
      <c r="R48" s="43">
        <f t="shared" si="4"/>
        <v>0</v>
      </c>
      <c r="S48" s="43">
        <f t="shared" si="5"/>
        <v>5610</v>
      </c>
      <c r="T48" s="43"/>
      <c r="U48" s="43"/>
      <c r="V48" s="43"/>
      <c r="W48" s="43"/>
      <c r="X48" s="24"/>
      <c r="Y48" s="24"/>
      <c r="Z48" s="24"/>
    </row>
    <row r="49" ht="14.25" customHeight="1" outlineLevel="1">
      <c r="A49" s="46" t="s">
        <v>491</v>
      </c>
      <c r="B49" s="47" t="s">
        <v>492</v>
      </c>
      <c r="C49" s="48">
        <v>1000.35</v>
      </c>
      <c r="D49" s="37">
        <v>994.69</v>
      </c>
      <c r="E49" s="37">
        <v>767.24</v>
      </c>
      <c r="F49" s="24"/>
      <c r="G49" s="24"/>
      <c r="H49" s="37"/>
      <c r="I49" s="24"/>
      <c r="J49" s="24"/>
      <c r="K49" s="24"/>
      <c r="L49" s="24"/>
      <c r="M49" s="24"/>
      <c r="N49" s="24"/>
      <c r="O49" s="40">
        <f t="shared" si="1"/>
        <v>2762.28</v>
      </c>
      <c r="P49" s="43">
        <f t="shared" si="2"/>
        <v>0</v>
      </c>
      <c r="Q49" s="43">
        <f t="shared" si="3"/>
        <v>0</v>
      </c>
      <c r="R49" s="43">
        <f t="shared" si="4"/>
        <v>0</v>
      </c>
      <c r="S49" s="43">
        <f t="shared" si="5"/>
        <v>2762.28</v>
      </c>
      <c r="T49" s="43"/>
      <c r="U49" s="43"/>
      <c r="V49" s="43"/>
      <c r="W49" s="43"/>
      <c r="X49" s="24"/>
      <c r="Y49" s="24"/>
      <c r="Z49" s="24"/>
    </row>
    <row r="50" ht="14.25" customHeight="1" outlineLevel="1">
      <c r="A50" s="46" t="s">
        <v>493</v>
      </c>
      <c r="B50" s="47" t="s">
        <v>494</v>
      </c>
      <c r="C50" s="48">
        <v>350.0</v>
      </c>
      <c r="D50" s="37">
        <v>260.06</v>
      </c>
      <c r="E50" s="37">
        <v>2076.98</v>
      </c>
      <c r="F50" s="24"/>
      <c r="G50" s="24"/>
      <c r="H50" s="37"/>
      <c r="I50" s="24"/>
      <c r="J50" s="24"/>
      <c r="K50" s="24"/>
      <c r="L50" s="24"/>
      <c r="M50" s="24"/>
      <c r="N50" s="24"/>
      <c r="O50" s="40">
        <f t="shared" si="1"/>
        <v>2687.04</v>
      </c>
      <c r="P50" s="43">
        <f t="shared" si="2"/>
        <v>0</v>
      </c>
      <c r="Q50" s="43">
        <f t="shared" si="3"/>
        <v>0</v>
      </c>
      <c r="R50" s="43">
        <f t="shared" si="4"/>
        <v>0</v>
      </c>
      <c r="S50" s="43">
        <f t="shared" si="5"/>
        <v>2687.04</v>
      </c>
      <c r="T50" s="43"/>
      <c r="U50" s="43"/>
      <c r="V50" s="43"/>
      <c r="W50" s="43"/>
      <c r="X50" s="24"/>
      <c r="Y50" s="24"/>
      <c r="Z50" s="24"/>
    </row>
    <row r="51" ht="14.25" customHeight="1" outlineLevel="1">
      <c r="A51" s="46" t="s">
        <v>496</v>
      </c>
      <c r="B51" s="47" t="s">
        <v>497</v>
      </c>
      <c r="C51" s="48">
        <v>2752.0</v>
      </c>
      <c r="D51" s="37">
        <v>4052.0</v>
      </c>
      <c r="E51" s="37">
        <v>2752.0</v>
      </c>
      <c r="F51" s="24"/>
      <c r="G51" s="24"/>
      <c r="H51" s="37"/>
      <c r="I51" s="24"/>
      <c r="J51" s="24"/>
      <c r="K51" s="24"/>
      <c r="L51" s="24"/>
      <c r="M51" s="24"/>
      <c r="N51" s="24"/>
      <c r="O51" s="40">
        <f t="shared" si="1"/>
        <v>9556</v>
      </c>
      <c r="P51" s="43">
        <f t="shared" si="2"/>
        <v>0</v>
      </c>
      <c r="Q51" s="43">
        <f t="shared" si="3"/>
        <v>0</v>
      </c>
      <c r="R51" s="43">
        <f t="shared" si="4"/>
        <v>0</v>
      </c>
      <c r="S51" s="43">
        <f t="shared" si="5"/>
        <v>9556</v>
      </c>
      <c r="T51" s="43"/>
      <c r="U51" s="43"/>
      <c r="V51" s="43"/>
      <c r="W51" s="43"/>
      <c r="X51" s="24"/>
      <c r="Y51" s="24"/>
      <c r="Z51" s="24"/>
    </row>
    <row r="52" ht="14.25" customHeight="1" outlineLevel="1">
      <c r="A52" s="46" t="s">
        <v>499</v>
      </c>
      <c r="B52" s="47" t="s">
        <v>500</v>
      </c>
      <c r="C52" s="48">
        <v>2303.47</v>
      </c>
      <c r="D52" s="37">
        <v>575.88</v>
      </c>
      <c r="E52" s="37">
        <v>595.52</v>
      </c>
      <c r="F52" s="24"/>
      <c r="G52" s="24"/>
      <c r="H52" s="37"/>
      <c r="I52" s="24"/>
      <c r="J52" s="24"/>
      <c r="K52" s="24"/>
      <c r="L52" s="24"/>
      <c r="M52" s="24"/>
      <c r="N52" s="24"/>
      <c r="O52" s="40">
        <f t="shared" si="1"/>
        <v>3474.87</v>
      </c>
      <c r="P52" s="43">
        <f t="shared" si="2"/>
        <v>0</v>
      </c>
      <c r="Q52" s="43">
        <f t="shared" si="3"/>
        <v>0</v>
      </c>
      <c r="R52" s="43">
        <f t="shared" si="4"/>
        <v>0</v>
      </c>
      <c r="S52" s="43">
        <f t="shared" si="5"/>
        <v>3474.87</v>
      </c>
      <c r="T52" s="43"/>
      <c r="U52" s="43"/>
      <c r="V52" s="43"/>
      <c r="W52" s="43"/>
      <c r="X52" s="24"/>
      <c r="Y52" s="24"/>
      <c r="Z52" s="24"/>
    </row>
    <row r="53" ht="14.25" customHeight="1" outlineLevel="1">
      <c r="A53" s="46" t="s">
        <v>501</v>
      </c>
      <c r="B53" s="47" t="s">
        <v>502</v>
      </c>
      <c r="C53" s="48">
        <v>2078.81</v>
      </c>
      <c r="D53" s="37">
        <v>2668.2</v>
      </c>
      <c r="E53" s="37">
        <v>90.0</v>
      </c>
      <c r="F53" s="24"/>
      <c r="G53" s="24"/>
      <c r="H53" s="37"/>
      <c r="I53" s="24"/>
      <c r="J53" s="24"/>
      <c r="K53" s="24"/>
      <c r="L53" s="24"/>
      <c r="M53" s="24"/>
      <c r="N53" s="24"/>
      <c r="O53" s="40">
        <f t="shared" si="1"/>
        <v>4837.01</v>
      </c>
      <c r="P53" s="43">
        <f t="shared" si="2"/>
        <v>0</v>
      </c>
      <c r="Q53" s="43">
        <f t="shared" si="3"/>
        <v>0</v>
      </c>
      <c r="R53" s="43">
        <f t="shared" si="4"/>
        <v>0</v>
      </c>
      <c r="S53" s="43">
        <f t="shared" si="5"/>
        <v>4837.01</v>
      </c>
      <c r="T53" s="43"/>
      <c r="U53" s="43"/>
      <c r="V53" s="43"/>
      <c r="W53" s="43"/>
      <c r="X53" s="24"/>
      <c r="Y53" s="24"/>
      <c r="Z53" s="24"/>
    </row>
    <row r="54" ht="14.25" customHeight="1" outlineLevel="1">
      <c r="A54" s="46" t="s">
        <v>503</v>
      </c>
      <c r="B54" s="47" t="s">
        <v>504</v>
      </c>
      <c r="C54" s="48">
        <v>0.0</v>
      </c>
      <c r="D54" s="37">
        <v>32.0</v>
      </c>
      <c r="E54" s="37">
        <v>77.32</v>
      </c>
      <c r="F54" s="24"/>
      <c r="G54" s="24"/>
      <c r="H54" s="37"/>
      <c r="I54" s="24"/>
      <c r="J54" s="24"/>
      <c r="K54" s="24"/>
      <c r="L54" s="24"/>
      <c r="M54" s="24"/>
      <c r="N54" s="24"/>
      <c r="O54" s="40">
        <f t="shared" si="1"/>
        <v>109.32</v>
      </c>
      <c r="P54" s="43">
        <f t="shared" si="2"/>
        <v>0</v>
      </c>
      <c r="Q54" s="43">
        <f t="shared" si="3"/>
        <v>0</v>
      </c>
      <c r="R54" s="43">
        <f t="shared" si="4"/>
        <v>0</v>
      </c>
      <c r="S54" s="43">
        <f t="shared" si="5"/>
        <v>109.32</v>
      </c>
      <c r="T54" s="43"/>
      <c r="U54" s="43"/>
      <c r="V54" s="43"/>
      <c r="W54" s="43"/>
      <c r="X54" s="24"/>
      <c r="Y54" s="24"/>
      <c r="Z54" s="24"/>
    </row>
    <row r="55" ht="14.25" customHeight="1" outlineLevel="1">
      <c r="A55" s="46" t="s">
        <v>506</v>
      </c>
      <c r="B55" s="47" t="s">
        <v>508</v>
      </c>
      <c r="C55" s="48">
        <v>450.0</v>
      </c>
      <c r="D55" s="37">
        <v>330.0</v>
      </c>
      <c r="E55" s="37">
        <v>0.0</v>
      </c>
      <c r="F55" s="24"/>
      <c r="G55" s="24"/>
      <c r="H55" s="37"/>
      <c r="I55" s="24"/>
      <c r="J55" s="24"/>
      <c r="K55" s="24"/>
      <c r="L55" s="24"/>
      <c r="M55" s="24"/>
      <c r="N55" s="24"/>
      <c r="O55" s="40">
        <f t="shared" si="1"/>
        <v>780</v>
      </c>
      <c r="P55" s="43">
        <f t="shared" si="2"/>
        <v>0</v>
      </c>
      <c r="Q55" s="43">
        <f t="shared" si="3"/>
        <v>0</v>
      </c>
      <c r="R55" s="43">
        <f t="shared" si="4"/>
        <v>0</v>
      </c>
      <c r="S55" s="43">
        <f t="shared" si="5"/>
        <v>780</v>
      </c>
      <c r="T55" s="43"/>
      <c r="U55" s="43"/>
      <c r="V55" s="43"/>
      <c r="W55" s="43"/>
      <c r="X55" s="24"/>
      <c r="Y55" s="24"/>
      <c r="Z55" s="24"/>
    </row>
    <row r="56" ht="14.25" customHeight="1" outlineLevel="1">
      <c r="A56" s="46" t="s">
        <v>509</v>
      </c>
      <c r="B56" s="47" t="s">
        <v>510</v>
      </c>
      <c r="C56" s="48">
        <v>1000.0</v>
      </c>
      <c r="D56" s="37">
        <v>1000.0</v>
      </c>
      <c r="E56" s="37">
        <v>1000.0</v>
      </c>
      <c r="F56" s="24"/>
      <c r="G56" s="24"/>
      <c r="H56" s="37"/>
      <c r="I56" s="24"/>
      <c r="J56" s="24"/>
      <c r="K56" s="24"/>
      <c r="L56" s="24"/>
      <c r="M56" s="24"/>
      <c r="N56" s="24"/>
      <c r="O56" s="40">
        <f t="shared" si="1"/>
        <v>3000</v>
      </c>
      <c r="P56" s="43">
        <f t="shared" si="2"/>
        <v>0</v>
      </c>
      <c r="Q56" s="43">
        <f t="shared" si="3"/>
        <v>0</v>
      </c>
      <c r="R56" s="43">
        <f t="shared" si="4"/>
        <v>0</v>
      </c>
      <c r="S56" s="43">
        <f t="shared" si="5"/>
        <v>3000</v>
      </c>
      <c r="T56" s="43"/>
      <c r="U56" s="43"/>
      <c r="V56" s="43"/>
      <c r="W56" s="43"/>
      <c r="X56" s="24"/>
      <c r="Y56" s="24"/>
      <c r="Z56" s="24"/>
    </row>
    <row r="57" ht="14.25" customHeight="1" outlineLevel="1">
      <c r="A57" s="46" t="s">
        <v>512</v>
      </c>
      <c r="B57" s="47" t="s">
        <v>513</v>
      </c>
      <c r="C57" s="48">
        <v>51210.04</v>
      </c>
      <c r="D57" s="37">
        <v>1429.87</v>
      </c>
      <c r="E57" s="37">
        <v>11561.56</v>
      </c>
      <c r="F57" s="24"/>
      <c r="G57" s="24"/>
      <c r="H57" s="37"/>
      <c r="I57" s="24"/>
      <c r="J57" s="24"/>
      <c r="K57" s="24"/>
      <c r="L57" s="24"/>
      <c r="M57" s="24"/>
      <c r="N57" s="24"/>
      <c r="O57" s="40">
        <f t="shared" si="1"/>
        <v>64201.47</v>
      </c>
      <c r="P57" s="43">
        <f t="shared" si="2"/>
        <v>0</v>
      </c>
      <c r="Q57" s="43">
        <f t="shared" si="3"/>
        <v>0</v>
      </c>
      <c r="R57" s="43">
        <f t="shared" si="4"/>
        <v>0</v>
      </c>
      <c r="S57" s="43">
        <f t="shared" si="5"/>
        <v>64201.47</v>
      </c>
      <c r="T57" s="43"/>
      <c r="U57" s="43"/>
      <c r="V57" s="43"/>
      <c r="W57" s="43"/>
      <c r="X57" s="24"/>
      <c r="Y57" s="24"/>
      <c r="Z57" s="24"/>
    </row>
    <row r="58" ht="14.25" customHeight="1" outlineLevel="1">
      <c r="A58" s="46" t="s">
        <v>514</v>
      </c>
      <c r="B58" s="47" t="s">
        <v>515</v>
      </c>
      <c r="C58" s="48">
        <v>51210.04</v>
      </c>
      <c r="D58" s="37">
        <v>1429.87</v>
      </c>
      <c r="E58" s="37">
        <v>11561.56</v>
      </c>
      <c r="F58" s="24"/>
      <c r="G58" s="24"/>
      <c r="H58" s="37"/>
      <c r="I58" s="24"/>
      <c r="J58" s="24"/>
      <c r="K58" s="24"/>
      <c r="L58" s="24"/>
      <c r="M58" s="24"/>
      <c r="N58" s="24"/>
      <c r="O58" s="40">
        <f t="shared" si="1"/>
        <v>64201.47</v>
      </c>
      <c r="P58" s="43">
        <f t="shared" si="2"/>
        <v>0</v>
      </c>
      <c r="Q58" s="43">
        <f t="shared" si="3"/>
        <v>0</v>
      </c>
      <c r="R58" s="43">
        <f t="shared" si="4"/>
        <v>0</v>
      </c>
      <c r="S58" s="43">
        <f t="shared" si="5"/>
        <v>64201.47</v>
      </c>
      <c r="T58" s="43"/>
      <c r="U58" s="43"/>
      <c r="V58" s="43"/>
      <c r="W58" s="43"/>
      <c r="X58" s="24"/>
      <c r="Y58" s="24"/>
      <c r="Z58" s="24"/>
    </row>
    <row r="59" ht="14.25" customHeight="1" outlineLevel="1">
      <c r="A59" s="46" t="s">
        <v>517</v>
      </c>
      <c r="B59" s="47" t="s">
        <v>518</v>
      </c>
      <c r="C59" s="48">
        <v>10028.48</v>
      </c>
      <c r="D59" s="37">
        <v>0.0</v>
      </c>
      <c r="E59" s="37">
        <v>7668.4</v>
      </c>
      <c r="F59" s="24"/>
      <c r="G59" s="24"/>
      <c r="H59" s="37"/>
      <c r="I59" s="24"/>
      <c r="J59" s="24"/>
      <c r="K59" s="24"/>
      <c r="L59" s="24"/>
      <c r="M59" s="24"/>
      <c r="N59" s="24"/>
      <c r="O59" s="40">
        <f t="shared" si="1"/>
        <v>17696.88</v>
      </c>
      <c r="P59" s="43">
        <f t="shared" si="2"/>
        <v>0</v>
      </c>
      <c r="Q59" s="43">
        <f t="shared" si="3"/>
        <v>0</v>
      </c>
      <c r="R59" s="43">
        <f t="shared" si="4"/>
        <v>0</v>
      </c>
      <c r="S59" s="43">
        <f t="shared" si="5"/>
        <v>17696.88</v>
      </c>
      <c r="T59" s="43"/>
      <c r="U59" s="43"/>
      <c r="V59" s="43"/>
      <c r="W59" s="43"/>
      <c r="X59" s="24"/>
      <c r="Y59" s="24"/>
      <c r="Z59" s="24"/>
    </row>
    <row r="60" ht="14.25" customHeight="1" outlineLevel="1">
      <c r="A60" s="46" t="s">
        <v>520</v>
      </c>
      <c r="B60" s="47" t="s">
        <v>521</v>
      </c>
      <c r="C60" s="48">
        <v>3050.5</v>
      </c>
      <c r="D60" s="37">
        <v>0.0</v>
      </c>
      <c r="E60" s="37">
        <v>3893.16</v>
      </c>
      <c r="F60" s="24"/>
      <c r="G60" s="24"/>
      <c r="H60" s="37"/>
      <c r="I60" s="24"/>
      <c r="J60" s="24"/>
      <c r="K60" s="24"/>
      <c r="L60" s="24"/>
      <c r="M60" s="24"/>
      <c r="N60" s="24"/>
      <c r="O60" s="40">
        <f t="shared" si="1"/>
        <v>6943.66</v>
      </c>
      <c r="P60" s="43">
        <f t="shared" si="2"/>
        <v>0</v>
      </c>
      <c r="Q60" s="43">
        <f t="shared" si="3"/>
        <v>0</v>
      </c>
      <c r="R60" s="43">
        <f t="shared" si="4"/>
        <v>0</v>
      </c>
      <c r="S60" s="43">
        <f t="shared" si="5"/>
        <v>6943.66</v>
      </c>
      <c r="T60" s="43"/>
      <c r="U60" s="43"/>
      <c r="V60" s="43"/>
      <c r="W60" s="43"/>
      <c r="X60" s="24"/>
      <c r="Y60" s="24"/>
      <c r="Z60" s="24"/>
    </row>
    <row r="61" ht="14.25" customHeight="1" outlineLevel="1">
      <c r="A61" s="46" t="s">
        <v>522</v>
      </c>
      <c r="B61" s="47" t="s">
        <v>523</v>
      </c>
      <c r="C61" s="48">
        <v>22623.04</v>
      </c>
      <c r="D61" s="37">
        <v>26329.57</v>
      </c>
      <c r="E61" s="37">
        <v>5155.28</v>
      </c>
      <c r="F61" s="24"/>
      <c r="G61" s="24"/>
      <c r="H61" s="37"/>
      <c r="I61" s="24"/>
      <c r="J61" s="24"/>
      <c r="K61" s="24"/>
      <c r="L61" s="24"/>
      <c r="M61" s="24"/>
      <c r="N61" s="24"/>
      <c r="O61" s="40">
        <f t="shared" si="1"/>
        <v>54107.89</v>
      </c>
      <c r="P61" s="43">
        <f t="shared" si="2"/>
        <v>0</v>
      </c>
      <c r="Q61" s="43">
        <f t="shared" si="3"/>
        <v>0</v>
      </c>
      <c r="R61" s="43">
        <f t="shared" si="4"/>
        <v>0</v>
      </c>
      <c r="S61" s="43">
        <f t="shared" si="5"/>
        <v>54107.89</v>
      </c>
      <c r="T61" s="43"/>
      <c r="U61" s="43"/>
      <c r="V61" s="43"/>
      <c r="W61" s="43"/>
      <c r="X61" s="24"/>
      <c r="Y61" s="24"/>
      <c r="Z61" s="24"/>
    </row>
    <row r="62" ht="14.25" customHeight="1" outlineLevel="1">
      <c r="A62" s="46" t="s">
        <v>526</v>
      </c>
      <c r="B62" s="47" t="s">
        <v>527</v>
      </c>
      <c r="C62" s="48">
        <v>16836.49</v>
      </c>
      <c r="D62" s="37">
        <v>19601.83</v>
      </c>
      <c r="E62" s="37">
        <v>0.0</v>
      </c>
      <c r="F62" s="24"/>
      <c r="G62" s="24"/>
      <c r="H62" s="37"/>
      <c r="I62" s="24"/>
      <c r="J62" s="24"/>
      <c r="K62" s="24"/>
      <c r="L62" s="24"/>
      <c r="M62" s="24"/>
      <c r="N62" s="24"/>
      <c r="O62" s="40">
        <f t="shared" si="1"/>
        <v>36438.32</v>
      </c>
      <c r="P62" s="43">
        <f t="shared" si="2"/>
        <v>0</v>
      </c>
      <c r="Q62" s="43">
        <f t="shared" si="3"/>
        <v>0</v>
      </c>
      <c r="R62" s="43">
        <f t="shared" si="4"/>
        <v>0</v>
      </c>
      <c r="S62" s="43">
        <f t="shared" si="5"/>
        <v>36438.32</v>
      </c>
      <c r="T62" s="43"/>
      <c r="U62" s="43"/>
      <c r="V62" s="43"/>
      <c r="W62" s="43"/>
      <c r="X62" s="24"/>
      <c r="Y62" s="24"/>
      <c r="Z62" s="24"/>
    </row>
    <row r="63" ht="14.25" customHeight="1" outlineLevel="1">
      <c r="A63" s="46" t="s">
        <v>531</v>
      </c>
      <c r="B63" s="47" t="s">
        <v>532</v>
      </c>
      <c r="C63" s="48">
        <v>4428.0</v>
      </c>
      <c r="D63" s="37">
        <v>5155.28</v>
      </c>
      <c r="E63" s="37">
        <v>5155.28</v>
      </c>
      <c r="F63" s="24"/>
      <c r="G63" s="24"/>
      <c r="H63" s="37"/>
      <c r="I63" s="24"/>
      <c r="J63" s="24"/>
      <c r="K63" s="24"/>
      <c r="L63" s="24"/>
      <c r="M63" s="24"/>
      <c r="N63" s="24"/>
      <c r="O63" s="40">
        <f t="shared" si="1"/>
        <v>14738.56</v>
      </c>
      <c r="P63" s="43">
        <f t="shared" si="2"/>
        <v>0</v>
      </c>
      <c r="Q63" s="43">
        <f t="shared" si="3"/>
        <v>0</v>
      </c>
      <c r="R63" s="43">
        <f t="shared" si="4"/>
        <v>0</v>
      </c>
      <c r="S63" s="43">
        <f t="shared" si="5"/>
        <v>14738.56</v>
      </c>
      <c r="T63" s="43"/>
      <c r="U63" s="43"/>
      <c r="V63" s="43"/>
      <c r="W63" s="43"/>
      <c r="X63" s="24"/>
      <c r="Y63" s="24"/>
      <c r="Z63" s="24"/>
    </row>
    <row r="64" ht="14.25" customHeight="1" outlineLevel="1">
      <c r="A64" s="46" t="s">
        <v>538</v>
      </c>
      <c r="B64" s="47" t="s">
        <v>539</v>
      </c>
      <c r="C64" s="48">
        <v>1358.55</v>
      </c>
      <c r="D64" s="37">
        <v>1572.46</v>
      </c>
      <c r="E64" s="37">
        <v>0.0</v>
      </c>
      <c r="F64" s="24"/>
      <c r="G64" s="24"/>
      <c r="H64" s="37"/>
      <c r="I64" s="24"/>
      <c r="J64" s="24"/>
      <c r="K64" s="24"/>
      <c r="L64" s="24"/>
      <c r="M64" s="24"/>
      <c r="N64" s="24"/>
      <c r="O64" s="40">
        <f t="shared" si="1"/>
        <v>2931.01</v>
      </c>
      <c r="P64" s="43">
        <f t="shared" si="2"/>
        <v>0</v>
      </c>
      <c r="Q64" s="43">
        <f t="shared" si="3"/>
        <v>0</v>
      </c>
      <c r="R64" s="43">
        <f t="shared" si="4"/>
        <v>0</v>
      </c>
      <c r="S64" s="43">
        <f t="shared" si="5"/>
        <v>2931.01</v>
      </c>
      <c r="T64" s="43"/>
      <c r="U64" s="43"/>
      <c r="V64" s="43"/>
      <c r="W64" s="43"/>
      <c r="X64" s="24"/>
      <c r="Y64" s="24"/>
      <c r="Z64" s="24"/>
    </row>
    <row r="65" ht="14.25" customHeight="1" outlineLevel="1">
      <c r="A65" s="46" t="s">
        <v>544</v>
      </c>
      <c r="B65" s="47" t="s">
        <v>545</v>
      </c>
      <c r="C65" s="48">
        <v>157893.94</v>
      </c>
      <c r="D65" s="37">
        <v>180866.37</v>
      </c>
      <c r="E65" s="37">
        <v>155860.26</v>
      </c>
      <c r="F65" s="24"/>
      <c r="G65" s="24"/>
      <c r="H65" s="37"/>
      <c r="I65" s="24"/>
      <c r="J65" s="24"/>
      <c r="K65" s="24"/>
      <c r="L65" s="24"/>
      <c r="M65" s="24"/>
      <c r="N65" s="24"/>
      <c r="O65" s="40">
        <f t="shared" si="1"/>
        <v>494620.57</v>
      </c>
      <c r="P65" s="43">
        <f t="shared" si="2"/>
        <v>0</v>
      </c>
      <c r="Q65" s="43">
        <f t="shared" si="3"/>
        <v>0</v>
      </c>
      <c r="R65" s="43">
        <f t="shared" si="4"/>
        <v>0</v>
      </c>
      <c r="S65" s="43">
        <f t="shared" si="5"/>
        <v>494620.57</v>
      </c>
      <c r="T65" s="43"/>
      <c r="U65" s="43"/>
      <c r="V65" s="43"/>
      <c r="W65" s="43"/>
      <c r="X65" s="24"/>
      <c r="Y65" s="24"/>
      <c r="Z65" s="24"/>
    </row>
    <row r="66" ht="14.25" customHeight="1" outlineLevel="1">
      <c r="A66" s="46" t="s">
        <v>549</v>
      </c>
      <c r="B66" s="47" t="s">
        <v>550</v>
      </c>
      <c r="C66" s="48">
        <v>157893.94</v>
      </c>
      <c r="D66" s="37">
        <v>180866.37</v>
      </c>
      <c r="E66" s="37">
        <v>155860.26</v>
      </c>
      <c r="F66" s="24"/>
      <c r="G66" s="24"/>
      <c r="H66" s="37"/>
      <c r="I66" s="24"/>
      <c r="J66" s="24"/>
      <c r="K66" s="24"/>
      <c r="L66" s="24"/>
      <c r="M66" s="24"/>
      <c r="N66" s="24"/>
      <c r="O66" s="40">
        <f t="shared" si="1"/>
        <v>494620.57</v>
      </c>
      <c r="P66" s="43">
        <f t="shared" si="2"/>
        <v>0</v>
      </c>
      <c r="Q66" s="43">
        <f t="shared" si="3"/>
        <v>0</v>
      </c>
      <c r="R66" s="43">
        <f t="shared" si="4"/>
        <v>0</v>
      </c>
      <c r="S66" s="43">
        <f t="shared" si="5"/>
        <v>494620.57</v>
      </c>
      <c r="T66" s="43"/>
      <c r="U66" s="43"/>
      <c r="V66" s="43"/>
      <c r="W66" s="43"/>
      <c r="X66" s="24"/>
      <c r="Y66" s="24"/>
      <c r="Z66" s="24"/>
    </row>
    <row r="67" ht="14.25" customHeight="1" outlineLevel="1">
      <c r="A67" s="46" t="s">
        <v>554</v>
      </c>
      <c r="B67" s="47" t="s">
        <v>555</v>
      </c>
      <c r="C67" s="48">
        <v>111694.07</v>
      </c>
      <c r="D67" s="37">
        <v>126848.22</v>
      </c>
      <c r="E67" s="37">
        <v>109022.9</v>
      </c>
      <c r="F67" s="37">
        <v>136960.46</v>
      </c>
      <c r="G67" s="37">
        <v>130683.03</v>
      </c>
      <c r="H67" s="37">
        <v>144361.5</v>
      </c>
      <c r="I67" s="207">
        <v>186671.32</v>
      </c>
      <c r="J67" s="24"/>
      <c r="K67" s="24"/>
      <c r="L67" s="24"/>
      <c r="M67" s="24"/>
      <c r="N67" s="24"/>
      <c r="O67" s="40">
        <f t="shared" si="1"/>
        <v>347565.19</v>
      </c>
      <c r="P67" s="43">
        <f t="shared" si="2"/>
        <v>412004.99</v>
      </c>
      <c r="Q67" s="43">
        <f t="shared" si="3"/>
        <v>186671.32</v>
      </c>
      <c r="R67" s="43">
        <f t="shared" si="4"/>
        <v>0</v>
      </c>
      <c r="S67" s="94">
        <f t="shared" si="5"/>
        <v>946241.5</v>
      </c>
      <c r="T67" s="43"/>
      <c r="U67" s="43"/>
      <c r="V67" s="43"/>
      <c r="W67" s="43"/>
      <c r="X67" s="24"/>
      <c r="Y67" s="24"/>
      <c r="Z67" s="24"/>
    </row>
    <row r="68" ht="14.25" customHeight="1" outlineLevel="1">
      <c r="A68" s="46" t="s">
        <v>557</v>
      </c>
      <c r="B68" s="47" t="s">
        <v>558</v>
      </c>
      <c r="C68" s="48">
        <v>42369.87</v>
      </c>
      <c r="D68" s="37">
        <v>45665.36</v>
      </c>
      <c r="E68" s="37">
        <v>39248.24</v>
      </c>
      <c r="F68" s="37">
        <v>51465.77</v>
      </c>
      <c r="G68" s="37">
        <v>47045.89</v>
      </c>
      <c r="H68" s="37">
        <v>51970.14</v>
      </c>
      <c r="I68" s="24"/>
      <c r="J68" s="24"/>
      <c r="K68" s="24"/>
      <c r="L68" s="24"/>
      <c r="M68" s="24"/>
      <c r="N68" s="24"/>
      <c r="O68" s="40">
        <f t="shared" si="1"/>
        <v>127283.47</v>
      </c>
      <c r="P68" s="43">
        <f t="shared" si="2"/>
        <v>150481.8</v>
      </c>
      <c r="Q68" s="43">
        <f t="shared" si="3"/>
        <v>0</v>
      </c>
      <c r="R68" s="43">
        <f t="shared" si="4"/>
        <v>0</v>
      </c>
      <c r="S68" s="94">
        <f t="shared" si="5"/>
        <v>277765.27</v>
      </c>
      <c r="T68" s="43"/>
      <c r="U68" s="43"/>
      <c r="V68" s="43"/>
      <c r="W68" s="43"/>
      <c r="X68" s="24"/>
      <c r="Y68" s="24"/>
      <c r="Z68" s="24"/>
    </row>
    <row r="69" ht="14.25" customHeight="1" outlineLevel="1">
      <c r="A69" s="46" t="s">
        <v>559</v>
      </c>
      <c r="B69" s="47" t="s">
        <v>560</v>
      </c>
      <c r="C69" s="48">
        <v>0.0</v>
      </c>
      <c r="D69" s="37">
        <v>306.12</v>
      </c>
      <c r="E69" s="37">
        <v>0.0</v>
      </c>
      <c r="F69" s="37"/>
      <c r="G69" s="37"/>
      <c r="H69" s="37"/>
      <c r="I69" s="24"/>
      <c r="J69" s="24"/>
      <c r="K69" s="24"/>
      <c r="L69" s="24"/>
      <c r="M69" s="24"/>
      <c r="N69" s="24"/>
      <c r="O69" s="40">
        <f t="shared" si="1"/>
        <v>306.12</v>
      </c>
      <c r="P69" s="43">
        <f t="shared" si="2"/>
        <v>0</v>
      </c>
      <c r="Q69" s="43">
        <f t="shared" si="3"/>
        <v>0</v>
      </c>
      <c r="R69" s="43">
        <f t="shared" si="4"/>
        <v>0</v>
      </c>
      <c r="S69" s="43">
        <f t="shared" si="5"/>
        <v>306.12</v>
      </c>
      <c r="T69" s="43"/>
      <c r="U69" s="43"/>
      <c r="V69" s="43"/>
      <c r="W69" s="43"/>
      <c r="X69" s="24"/>
      <c r="Y69" s="24"/>
      <c r="Z69" s="24"/>
    </row>
    <row r="70" ht="14.25" customHeight="1" outlineLevel="1">
      <c r="A70" s="46" t="s">
        <v>561</v>
      </c>
      <c r="B70" s="47" t="s">
        <v>562</v>
      </c>
      <c r="C70" s="48">
        <v>3830.0</v>
      </c>
      <c r="D70" s="37">
        <v>5814.1</v>
      </c>
      <c r="E70" s="37">
        <v>5699.12</v>
      </c>
      <c r="F70" s="37"/>
      <c r="G70" s="37"/>
      <c r="H70" s="37"/>
      <c r="I70" s="24"/>
      <c r="J70" s="24"/>
      <c r="K70" s="24"/>
      <c r="L70" s="24"/>
      <c r="M70" s="24"/>
      <c r="N70" s="24"/>
      <c r="O70" s="40">
        <f t="shared" si="1"/>
        <v>15343.22</v>
      </c>
      <c r="P70" s="43">
        <f t="shared" si="2"/>
        <v>0</v>
      </c>
      <c r="Q70" s="43">
        <f t="shared" si="3"/>
        <v>0</v>
      </c>
      <c r="R70" s="43">
        <f t="shared" si="4"/>
        <v>0</v>
      </c>
      <c r="S70" s="43">
        <f t="shared" si="5"/>
        <v>15343.22</v>
      </c>
      <c r="T70" s="43"/>
      <c r="U70" s="43"/>
      <c r="V70" s="43"/>
      <c r="W70" s="43"/>
      <c r="X70" s="24"/>
      <c r="Y70" s="24"/>
      <c r="Z70" s="24"/>
    </row>
    <row r="71" ht="14.25" customHeight="1" outlineLevel="1">
      <c r="A71" s="46" t="s">
        <v>564</v>
      </c>
      <c r="B71" s="47" t="s">
        <v>565</v>
      </c>
      <c r="C71" s="48">
        <v>0.0</v>
      </c>
      <c r="D71" s="37">
        <v>0.57</v>
      </c>
      <c r="E71" s="37">
        <v>0.0</v>
      </c>
      <c r="F71" s="37"/>
      <c r="G71" s="37"/>
      <c r="H71" s="37"/>
      <c r="I71" s="24"/>
      <c r="J71" s="24"/>
      <c r="K71" s="24"/>
      <c r="L71" s="24"/>
      <c r="M71" s="24"/>
      <c r="N71" s="24"/>
      <c r="O71" s="40">
        <f t="shared" si="1"/>
        <v>0.57</v>
      </c>
      <c r="P71" s="43">
        <f t="shared" si="2"/>
        <v>0</v>
      </c>
      <c r="Q71" s="43">
        <f t="shared" si="3"/>
        <v>0</v>
      </c>
      <c r="R71" s="43">
        <f t="shared" si="4"/>
        <v>0</v>
      </c>
      <c r="S71" s="43">
        <f t="shared" si="5"/>
        <v>0.57</v>
      </c>
      <c r="T71" s="43"/>
      <c r="U71" s="43"/>
      <c r="V71" s="43"/>
      <c r="W71" s="43"/>
      <c r="X71" s="24"/>
      <c r="Y71" s="24"/>
      <c r="Z71" s="24"/>
    </row>
    <row r="72" ht="14.25" customHeight="1" outlineLevel="1">
      <c r="A72" s="46" t="s">
        <v>567</v>
      </c>
      <c r="B72" s="47" t="s">
        <v>568</v>
      </c>
      <c r="C72" s="48">
        <v>0.0</v>
      </c>
      <c r="D72" s="37">
        <v>2232.0</v>
      </c>
      <c r="E72" s="37">
        <v>1890.0</v>
      </c>
      <c r="F72" s="37"/>
      <c r="G72" s="37"/>
      <c r="H72" s="37"/>
      <c r="I72" s="24"/>
      <c r="J72" s="24"/>
      <c r="K72" s="24"/>
      <c r="L72" s="24"/>
      <c r="M72" s="24"/>
      <c r="N72" s="24"/>
      <c r="O72" s="40">
        <f t="shared" si="1"/>
        <v>4122</v>
      </c>
      <c r="P72" s="43">
        <f t="shared" si="2"/>
        <v>0</v>
      </c>
      <c r="Q72" s="43">
        <f t="shared" si="3"/>
        <v>0</v>
      </c>
      <c r="R72" s="43">
        <f t="shared" si="4"/>
        <v>0</v>
      </c>
      <c r="S72" s="43">
        <f t="shared" si="5"/>
        <v>4122</v>
      </c>
      <c r="T72" s="43"/>
      <c r="U72" s="43"/>
      <c r="V72" s="43"/>
      <c r="W72" s="43"/>
      <c r="X72" s="24"/>
      <c r="Y72" s="24"/>
      <c r="Z72" s="24"/>
    </row>
    <row r="73" ht="14.25" customHeight="1" outlineLevel="1">
      <c r="A73" s="46" t="s">
        <v>570</v>
      </c>
      <c r="B73" s="47" t="s">
        <v>571</v>
      </c>
      <c r="C73" s="48">
        <v>3143.22</v>
      </c>
      <c r="D73" s="37">
        <v>1457.55</v>
      </c>
      <c r="E73" s="37">
        <v>1435.71</v>
      </c>
      <c r="F73" s="37">
        <v>1750.56</v>
      </c>
      <c r="G73" s="37">
        <v>42952.75</v>
      </c>
      <c r="H73" s="37">
        <v>799.26</v>
      </c>
      <c r="I73" s="24"/>
      <c r="J73" s="24"/>
      <c r="K73" s="24"/>
      <c r="L73" s="24"/>
      <c r="M73" s="24"/>
      <c r="N73" s="24"/>
      <c r="O73" s="40">
        <f t="shared" si="1"/>
        <v>6036.48</v>
      </c>
      <c r="P73" s="43">
        <f t="shared" si="2"/>
        <v>45502.57</v>
      </c>
      <c r="Q73" s="43">
        <f t="shared" si="3"/>
        <v>0</v>
      </c>
      <c r="R73" s="43">
        <f t="shared" si="4"/>
        <v>0</v>
      </c>
      <c r="S73" s="43">
        <f t="shared" si="5"/>
        <v>51539.05</v>
      </c>
      <c r="T73" s="43"/>
      <c r="U73" s="43"/>
      <c r="V73" s="43"/>
      <c r="W73" s="43"/>
      <c r="X73" s="24"/>
      <c r="Y73" s="24"/>
      <c r="Z73" s="24"/>
    </row>
    <row r="74" ht="14.25" customHeight="1" outlineLevel="1">
      <c r="A74" s="46" t="s">
        <v>572</v>
      </c>
      <c r="B74" s="47" t="s">
        <v>573</v>
      </c>
      <c r="C74" s="48">
        <v>-2.33</v>
      </c>
      <c r="D74" s="37">
        <v>-334.45</v>
      </c>
      <c r="E74" s="37">
        <v>-485.87</v>
      </c>
      <c r="F74" s="37"/>
      <c r="G74" s="37"/>
      <c r="H74" s="37"/>
      <c r="I74" s="24"/>
      <c r="J74" s="24"/>
      <c r="K74" s="24"/>
      <c r="L74" s="24"/>
      <c r="M74" s="24"/>
      <c r="N74" s="24"/>
      <c r="O74" s="40">
        <f t="shared" si="1"/>
        <v>-822.65</v>
      </c>
      <c r="P74" s="43">
        <f t="shared" si="2"/>
        <v>0</v>
      </c>
      <c r="Q74" s="43">
        <f t="shared" si="3"/>
        <v>0</v>
      </c>
      <c r="R74" s="43">
        <f t="shared" si="4"/>
        <v>0</v>
      </c>
      <c r="S74" s="43">
        <f t="shared" si="5"/>
        <v>-822.65</v>
      </c>
      <c r="T74" s="43"/>
      <c r="U74" s="43"/>
      <c r="V74" s="43"/>
      <c r="W74" s="43"/>
      <c r="X74" s="24"/>
      <c r="Y74" s="24"/>
      <c r="Z74" s="24"/>
    </row>
    <row r="75" ht="14.25" customHeight="1" outlineLevel="1">
      <c r="A75" s="46" t="s">
        <v>575</v>
      </c>
      <c r="B75" s="47" t="s">
        <v>576</v>
      </c>
      <c r="C75" s="48">
        <v>-2.33</v>
      </c>
      <c r="D75" s="37">
        <v>334.45</v>
      </c>
      <c r="E75" s="37">
        <v>-485.87</v>
      </c>
      <c r="F75" s="37"/>
      <c r="G75" s="37"/>
      <c r="H75" s="37"/>
      <c r="I75" s="24"/>
      <c r="J75" s="24"/>
      <c r="K75" s="24"/>
      <c r="L75" s="24"/>
      <c r="M75" s="24"/>
      <c r="N75" s="24"/>
      <c r="O75" s="40">
        <f t="shared" si="1"/>
        <v>-153.75</v>
      </c>
      <c r="P75" s="43">
        <f t="shared" si="2"/>
        <v>0</v>
      </c>
      <c r="Q75" s="43">
        <f t="shared" si="3"/>
        <v>0</v>
      </c>
      <c r="R75" s="43">
        <f t="shared" si="4"/>
        <v>0</v>
      </c>
      <c r="S75" s="43">
        <f t="shared" si="5"/>
        <v>-153.75</v>
      </c>
      <c r="T75" s="43"/>
      <c r="U75" s="43"/>
      <c r="V75" s="43"/>
      <c r="W75" s="43"/>
      <c r="X75" s="24"/>
      <c r="Y75" s="24"/>
      <c r="Z75" s="24"/>
    </row>
    <row r="76" ht="14.25" customHeight="1" outlineLevel="1">
      <c r="A76" s="46" t="s">
        <v>579</v>
      </c>
      <c r="B76" s="47" t="s">
        <v>580</v>
      </c>
      <c r="C76" s="48">
        <v>2.33</v>
      </c>
      <c r="D76" s="37">
        <v>334.45</v>
      </c>
      <c r="E76" s="37">
        <v>485.87</v>
      </c>
      <c r="F76" s="37"/>
      <c r="G76" s="37">
        <v>46217.05</v>
      </c>
      <c r="H76" s="37"/>
      <c r="I76" s="24"/>
      <c r="J76" s="24"/>
      <c r="K76" s="24"/>
      <c r="L76" s="24"/>
      <c r="M76" s="24"/>
      <c r="N76" s="24"/>
      <c r="O76" s="40">
        <f t="shared" si="1"/>
        <v>822.65</v>
      </c>
      <c r="P76" s="43">
        <f t="shared" si="2"/>
        <v>46217.05</v>
      </c>
      <c r="Q76" s="43">
        <f t="shared" si="3"/>
        <v>0</v>
      </c>
      <c r="R76" s="43">
        <f t="shared" si="4"/>
        <v>0</v>
      </c>
      <c r="S76" s="43">
        <f t="shared" si="5"/>
        <v>47039.7</v>
      </c>
      <c r="T76" s="43"/>
      <c r="U76" s="43"/>
      <c r="V76" s="43"/>
      <c r="W76" s="43"/>
      <c r="X76" s="24"/>
      <c r="Y76" s="24"/>
      <c r="Z76" s="24"/>
    </row>
    <row r="77" ht="14.25" customHeight="1" outlineLevel="1">
      <c r="A77" s="46" t="s">
        <v>581</v>
      </c>
      <c r="B77" s="47" t="s">
        <v>582</v>
      </c>
      <c r="C77" s="48">
        <v>3145.55</v>
      </c>
      <c r="D77" s="37">
        <v>1792.0</v>
      </c>
      <c r="E77" s="37">
        <v>1921.58</v>
      </c>
      <c r="F77" s="37"/>
      <c r="G77" s="37"/>
      <c r="H77" s="37"/>
      <c r="I77" s="24"/>
      <c r="J77" s="24"/>
      <c r="K77" s="24"/>
      <c r="L77" s="24"/>
      <c r="M77" s="24"/>
      <c r="N77" s="24"/>
      <c r="O77" s="40">
        <f t="shared" si="1"/>
        <v>6859.13</v>
      </c>
      <c r="P77" s="43">
        <f t="shared" si="2"/>
        <v>0</v>
      </c>
      <c r="Q77" s="43">
        <f t="shared" si="3"/>
        <v>0</v>
      </c>
      <c r="R77" s="43">
        <f t="shared" si="4"/>
        <v>0</v>
      </c>
      <c r="S77" s="43">
        <f t="shared" si="5"/>
        <v>6859.13</v>
      </c>
      <c r="T77" s="43"/>
      <c r="U77" s="43"/>
      <c r="V77" s="43"/>
      <c r="W77" s="43"/>
      <c r="X77" s="24"/>
      <c r="Y77" s="24"/>
      <c r="Z77" s="24"/>
    </row>
    <row r="78" ht="14.25" customHeight="1" outlineLevel="1">
      <c r="A78" s="46" t="s">
        <v>583</v>
      </c>
      <c r="B78" s="47" t="s">
        <v>584</v>
      </c>
      <c r="C78" s="48">
        <v>3145.55</v>
      </c>
      <c r="D78" s="37">
        <v>1792.0</v>
      </c>
      <c r="E78" s="37">
        <v>1921.58</v>
      </c>
      <c r="F78" s="37">
        <v>2859.36</v>
      </c>
      <c r="G78" s="71">
        <v>46217.05</v>
      </c>
      <c r="H78" s="37"/>
      <c r="I78" s="24"/>
      <c r="J78" s="24"/>
      <c r="K78" s="24"/>
      <c r="L78" s="24"/>
      <c r="M78" s="24"/>
      <c r="N78" s="24"/>
      <c r="O78" s="40">
        <f t="shared" si="1"/>
        <v>6859.13</v>
      </c>
      <c r="P78" s="43">
        <f t="shared" si="2"/>
        <v>49076.41</v>
      </c>
      <c r="Q78" s="43">
        <f t="shared" si="3"/>
        <v>0</v>
      </c>
      <c r="R78" s="43">
        <f t="shared" si="4"/>
        <v>0</v>
      </c>
      <c r="S78" s="37">
        <f t="shared" si="5"/>
        <v>55935.54</v>
      </c>
      <c r="T78" s="43"/>
      <c r="U78" s="43"/>
      <c r="V78" s="43"/>
      <c r="W78" s="43"/>
      <c r="X78" s="24"/>
      <c r="Y78" s="24"/>
      <c r="Z78" s="24"/>
    </row>
    <row r="79" ht="14.25" customHeight="1" outlineLevel="1">
      <c r="A79" s="46" t="s">
        <v>585</v>
      </c>
      <c r="B79" s="47" t="s">
        <v>586</v>
      </c>
      <c r="C79" s="48">
        <v>957.3</v>
      </c>
      <c r="D79" s="37">
        <v>16.25</v>
      </c>
      <c r="E79" s="37">
        <v>486.72</v>
      </c>
      <c r="F79" s="37"/>
      <c r="G79" s="37"/>
      <c r="H79" s="37"/>
      <c r="I79" s="24"/>
      <c r="J79" s="24"/>
      <c r="K79" s="24"/>
      <c r="L79" s="24"/>
      <c r="M79" s="24"/>
      <c r="N79" s="24"/>
      <c r="O79" s="40">
        <f t="shared" si="1"/>
        <v>1460.27</v>
      </c>
      <c r="P79" s="43">
        <f t="shared" si="2"/>
        <v>0</v>
      </c>
      <c r="Q79" s="43">
        <f t="shared" si="3"/>
        <v>0</v>
      </c>
      <c r="R79" s="43">
        <f t="shared" si="4"/>
        <v>0</v>
      </c>
      <c r="S79" s="43">
        <f t="shared" si="5"/>
        <v>1460.27</v>
      </c>
      <c r="T79" s="43"/>
      <c r="U79" s="43"/>
      <c r="V79" s="43"/>
      <c r="W79" s="43"/>
      <c r="X79" s="24"/>
      <c r="Y79" s="24"/>
      <c r="Z79" s="24"/>
    </row>
    <row r="80" ht="14.25" customHeight="1" outlineLevel="1">
      <c r="A80" s="46" t="s">
        <v>587</v>
      </c>
      <c r="B80" s="47" t="s">
        <v>588</v>
      </c>
      <c r="C80" s="48">
        <v>0.0</v>
      </c>
      <c r="D80" s="37">
        <v>5.14</v>
      </c>
      <c r="E80" s="37">
        <v>2.57</v>
      </c>
      <c r="F80" s="37"/>
      <c r="G80" s="37"/>
      <c r="H80" s="37"/>
      <c r="I80" s="24"/>
      <c r="J80" s="24"/>
      <c r="K80" s="24"/>
      <c r="L80" s="24"/>
      <c r="M80" s="24"/>
      <c r="N80" s="24"/>
      <c r="O80" s="40">
        <f t="shared" si="1"/>
        <v>7.71</v>
      </c>
      <c r="P80" s="43">
        <f t="shared" si="2"/>
        <v>0</v>
      </c>
      <c r="Q80" s="43">
        <f t="shared" si="3"/>
        <v>0</v>
      </c>
      <c r="R80" s="43">
        <f t="shared" si="4"/>
        <v>0</v>
      </c>
      <c r="S80" s="43">
        <f t="shared" si="5"/>
        <v>7.71</v>
      </c>
      <c r="T80" s="43"/>
      <c r="U80" s="43"/>
      <c r="V80" s="43"/>
      <c r="W80" s="43"/>
      <c r="X80" s="24"/>
      <c r="Y80" s="24"/>
      <c r="Z80" s="24"/>
    </row>
    <row r="81" ht="14.25" customHeight="1" outlineLevel="1">
      <c r="A81" s="46" t="s">
        <v>589</v>
      </c>
      <c r="B81" s="47" t="s">
        <v>590</v>
      </c>
      <c r="C81" s="48">
        <v>0.0</v>
      </c>
      <c r="D81" s="37">
        <v>15.73</v>
      </c>
      <c r="E81" s="37">
        <v>24.23</v>
      </c>
      <c r="F81" s="37"/>
      <c r="G81" s="37"/>
      <c r="H81" s="37"/>
      <c r="I81" s="24"/>
      <c r="J81" s="24"/>
      <c r="K81" s="24"/>
      <c r="L81" s="24"/>
      <c r="M81" s="24"/>
      <c r="N81" s="24"/>
      <c r="O81" s="40">
        <f t="shared" si="1"/>
        <v>39.96</v>
      </c>
      <c r="P81" s="43">
        <f t="shared" si="2"/>
        <v>0</v>
      </c>
      <c r="Q81" s="43">
        <f t="shared" si="3"/>
        <v>0</v>
      </c>
      <c r="R81" s="43">
        <f t="shared" si="4"/>
        <v>0</v>
      </c>
      <c r="S81" s="43">
        <f t="shared" si="5"/>
        <v>39.96</v>
      </c>
      <c r="T81" s="43"/>
      <c r="U81" s="43"/>
      <c r="V81" s="43"/>
      <c r="W81" s="43"/>
      <c r="X81" s="24"/>
      <c r="Y81" s="24"/>
      <c r="Z81" s="24"/>
    </row>
    <row r="82" ht="14.25" customHeight="1" outlineLevel="1">
      <c r="A82" s="46" t="s">
        <v>592</v>
      </c>
      <c r="B82" s="47" t="s">
        <v>593</v>
      </c>
      <c r="C82" s="48">
        <v>557.74</v>
      </c>
      <c r="D82" s="37">
        <v>171.16</v>
      </c>
      <c r="E82" s="37">
        <v>0.0</v>
      </c>
      <c r="F82" s="37"/>
      <c r="G82" s="37"/>
      <c r="H82" s="37"/>
      <c r="I82" s="24"/>
      <c r="J82" s="24"/>
      <c r="K82" s="24"/>
      <c r="L82" s="24"/>
      <c r="M82" s="24"/>
      <c r="N82" s="24"/>
      <c r="O82" s="40">
        <f t="shared" si="1"/>
        <v>728.9</v>
      </c>
      <c r="P82" s="43">
        <f t="shared" si="2"/>
        <v>0</v>
      </c>
      <c r="Q82" s="43">
        <f t="shared" si="3"/>
        <v>0</v>
      </c>
      <c r="R82" s="43">
        <f t="shared" si="4"/>
        <v>0</v>
      </c>
      <c r="S82" s="43">
        <f t="shared" si="5"/>
        <v>728.9</v>
      </c>
      <c r="T82" s="43"/>
      <c r="U82" s="43"/>
      <c r="V82" s="43"/>
      <c r="W82" s="43"/>
      <c r="X82" s="24"/>
      <c r="Y82" s="24"/>
      <c r="Z82" s="24"/>
    </row>
    <row r="83" ht="14.25" customHeight="1" outlineLevel="1">
      <c r="A83" s="46" t="s">
        <v>594</v>
      </c>
      <c r="B83" s="47" t="s">
        <v>595</v>
      </c>
      <c r="C83" s="48">
        <v>1630.51</v>
      </c>
      <c r="D83" s="37">
        <v>1583.72</v>
      </c>
      <c r="E83" s="37">
        <v>1408.06</v>
      </c>
      <c r="F83" s="37"/>
      <c r="G83" s="37"/>
      <c r="H83" s="37"/>
      <c r="I83" s="24"/>
      <c r="J83" s="24"/>
      <c r="K83" s="24"/>
      <c r="L83" s="24"/>
      <c r="M83" s="24"/>
      <c r="N83" s="24"/>
      <c r="O83" s="40">
        <f t="shared" si="1"/>
        <v>4622.29</v>
      </c>
      <c r="P83" s="43">
        <f t="shared" si="2"/>
        <v>0</v>
      </c>
      <c r="Q83" s="43">
        <f t="shared" si="3"/>
        <v>0</v>
      </c>
      <c r="R83" s="43">
        <f t="shared" si="4"/>
        <v>0</v>
      </c>
      <c r="S83" s="43">
        <f t="shared" si="5"/>
        <v>4622.29</v>
      </c>
      <c r="T83" s="43"/>
      <c r="U83" s="43"/>
      <c r="V83" s="43"/>
      <c r="W83" s="43"/>
      <c r="X83" s="24"/>
      <c r="Y83" s="24"/>
      <c r="Z83" s="24"/>
    </row>
    <row r="84" ht="14.25" customHeight="1">
      <c r="A84" s="29" t="s">
        <v>596</v>
      </c>
      <c r="B84" s="88" t="s">
        <v>597</v>
      </c>
      <c r="C84" s="33">
        <f>168787.07+C67+C68</f>
        <v>322851.01</v>
      </c>
      <c r="D84" s="34">
        <v>108336.24</v>
      </c>
      <c r="E84" s="34">
        <v>41158.0</v>
      </c>
      <c r="F84" s="34">
        <v>488936.51</v>
      </c>
      <c r="G84" s="34">
        <v>414634.47</v>
      </c>
      <c r="H84" s="34">
        <v>424117.83</v>
      </c>
      <c r="I84" s="96"/>
      <c r="J84" s="96"/>
      <c r="K84" s="24"/>
      <c r="L84" s="24"/>
      <c r="M84" s="24"/>
      <c r="N84" s="24"/>
      <c r="O84" s="40">
        <f t="shared" si="1"/>
        <v>472345.25</v>
      </c>
      <c r="P84" s="43">
        <f t="shared" si="2"/>
        <v>1327688.81</v>
      </c>
      <c r="Q84" s="43">
        <f t="shared" si="3"/>
        <v>0</v>
      </c>
      <c r="R84" s="43">
        <f t="shared" si="4"/>
        <v>0</v>
      </c>
      <c r="S84" s="34">
        <f t="shared" si="5"/>
        <v>1800034.06</v>
      </c>
      <c r="T84" s="43">
        <v>1559840.0</v>
      </c>
      <c r="U84" s="43">
        <f t="shared" ref="U84:U86" si="6">S84-T84</f>
        <v>240194.06</v>
      </c>
      <c r="V84" s="43"/>
      <c r="W84" s="43"/>
      <c r="X84" s="24"/>
      <c r="Y84" s="24"/>
      <c r="Z84" s="24"/>
    </row>
    <row r="85" ht="14.25" customHeight="1">
      <c r="A85" s="29" t="s">
        <v>598</v>
      </c>
      <c r="B85" s="88" t="s">
        <v>599</v>
      </c>
      <c r="C85" s="33">
        <v>168787.07</v>
      </c>
      <c r="D85" s="34">
        <v>108336.24</v>
      </c>
      <c r="E85" s="34">
        <v>41158.0</v>
      </c>
      <c r="F85" s="34">
        <v>488936.51</v>
      </c>
      <c r="G85" s="34">
        <v>414634.47</v>
      </c>
      <c r="H85" s="34">
        <v>227786.19</v>
      </c>
      <c r="I85" s="24"/>
      <c r="J85" s="24"/>
      <c r="K85" s="24"/>
      <c r="L85" s="24"/>
      <c r="M85" s="24"/>
      <c r="N85" s="24"/>
      <c r="O85" s="40">
        <f t="shared" si="1"/>
        <v>318281.31</v>
      </c>
      <c r="P85" s="43">
        <f t="shared" si="2"/>
        <v>1131357.17</v>
      </c>
      <c r="Q85" s="43">
        <f t="shared" si="3"/>
        <v>0</v>
      </c>
      <c r="R85" s="43">
        <f t="shared" si="4"/>
        <v>0</v>
      </c>
      <c r="S85" s="43">
        <f t="shared" si="5"/>
        <v>1449638.48</v>
      </c>
      <c r="T85" s="43">
        <v>1559840.0</v>
      </c>
      <c r="U85" s="43">
        <f t="shared" si="6"/>
        <v>-110201.52</v>
      </c>
      <c r="V85" s="43"/>
      <c r="W85" s="43"/>
      <c r="X85" s="24"/>
      <c r="Y85" s="24"/>
      <c r="Z85" s="24"/>
    </row>
    <row r="86" ht="14.25" customHeight="1">
      <c r="A86" s="226" t="s">
        <v>600</v>
      </c>
      <c r="B86" s="227" t="s">
        <v>601</v>
      </c>
      <c r="C86" s="228">
        <v>168787.07</v>
      </c>
      <c r="D86" s="229">
        <v>108336.24</v>
      </c>
      <c r="E86" s="229">
        <v>41158.0</v>
      </c>
      <c r="F86" s="229">
        <f t="shared" ref="F86:G86" si="7">F85-F68-F67</f>
        <v>300510.28</v>
      </c>
      <c r="G86" s="229">
        <f t="shared" si="7"/>
        <v>236905.55</v>
      </c>
      <c r="H86" s="229">
        <f>H85</f>
        <v>227786.19</v>
      </c>
      <c r="I86" s="24"/>
      <c r="J86" s="24"/>
      <c r="K86" s="24"/>
      <c r="L86" s="24"/>
      <c r="M86" s="24"/>
      <c r="N86" s="24"/>
      <c r="O86" s="40">
        <f t="shared" si="1"/>
        <v>318281.31</v>
      </c>
      <c r="P86" s="43">
        <f t="shared" si="2"/>
        <v>765202.02</v>
      </c>
      <c r="Q86" s="43">
        <f t="shared" si="3"/>
        <v>0</v>
      </c>
      <c r="R86" s="43">
        <f t="shared" si="4"/>
        <v>0</v>
      </c>
      <c r="S86" s="43">
        <f t="shared" si="5"/>
        <v>1083483.33</v>
      </c>
      <c r="T86" s="43">
        <v>543891.0</v>
      </c>
      <c r="U86" s="43">
        <f t="shared" si="6"/>
        <v>539592.33</v>
      </c>
      <c r="V86" s="43"/>
      <c r="W86" s="43"/>
      <c r="X86" s="24"/>
      <c r="Y86" s="24"/>
      <c r="Z86" s="24"/>
    </row>
    <row r="87" ht="14.25" customHeight="1">
      <c r="A87" s="24"/>
      <c r="B87" s="230" t="s">
        <v>411</v>
      </c>
      <c r="C87" s="95">
        <f t="shared" ref="C87:S87" si="8">IFERROR(C86/C16,0)</f>
        <v>0.1223677562</v>
      </c>
      <c r="D87" s="95">
        <f t="shared" si="8"/>
        <v>0.07304419061</v>
      </c>
      <c r="E87" s="95">
        <f t="shared" si="8"/>
        <v>0.03227670808</v>
      </c>
      <c r="F87" s="95">
        <f t="shared" si="8"/>
        <v>0.1801160105</v>
      </c>
      <c r="G87" s="95">
        <f t="shared" si="8"/>
        <v>0.1546544564</v>
      </c>
      <c r="H87" s="95">
        <f t="shared" si="8"/>
        <v>0.1365325169</v>
      </c>
      <c r="I87" s="95">
        <f t="shared" si="8"/>
        <v>0</v>
      </c>
      <c r="J87" s="95">
        <f t="shared" si="8"/>
        <v>0</v>
      </c>
      <c r="K87" s="95">
        <f t="shared" si="8"/>
        <v>0</v>
      </c>
      <c r="L87" s="95">
        <f t="shared" si="8"/>
        <v>0</v>
      </c>
      <c r="M87" s="95">
        <f t="shared" si="8"/>
        <v>0</v>
      </c>
      <c r="N87" s="95">
        <f t="shared" si="8"/>
        <v>0</v>
      </c>
      <c r="O87" s="95">
        <f t="shared" si="8"/>
        <v>0.07692294809</v>
      </c>
      <c r="P87" s="43">
        <f t="shared" si="8"/>
        <v>0.1571698869</v>
      </c>
      <c r="Q87" s="43">
        <f t="shared" si="8"/>
        <v>0</v>
      </c>
      <c r="R87" s="43">
        <f t="shared" si="8"/>
        <v>0</v>
      </c>
      <c r="S87" s="95">
        <f t="shared" si="8"/>
        <v>0.1203029059</v>
      </c>
      <c r="T87" s="43"/>
      <c r="U87" s="43"/>
      <c r="V87" s="43"/>
      <c r="W87" s="43"/>
      <c r="X87" s="24"/>
      <c r="Y87" s="24"/>
      <c r="Z87" s="24"/>
    </row>
    <row r="88" ht="14.25" customHeight="1">
      <c r="A88" s="24"/>
      <c r="B88" s="230" t="s">
        <v>151</v>
      </c>
      <c r="C88" s="40">
        <f t="shared" ref="C88:S88" si="9">C86+C73+C67+C68</f>
        <v>325994.23</v>
      </c>
      <c r="D88" s="40">
        <f t="shared" si="9"/>
        <v>282307.37</v>
      </c>
      <c r="E88" s="40">
        <f t="shared" si="9"/>
        <v>190864.85</v>
      </c>
      <c r="F88" s="40">
        <f t="shared" si="9"/>
        <v>490687.07</v>
      </c>
      <c r="G88" s="40">
        <f t="shared" si="9"/>
        <v>457587.22</v>
      </c>
      <c r="H88" s="40">
        <f t="shared" si="9"/>
        <v>424917.09</v>
      </c>
      <c r="I88" s="40">
        <f t="shared" si="9"/>
        <v>186671.32</v>
      </c>
      <c r="J88" s="40">
        <f t="shared" si="9"/>
        <v>0</v>
      </c>
      <c r="K88" s="40">
        <f t="shared" si="9"/>
        <v>0</v>
      </c>
      <c r="L88" s="40">
        <f t="shared" si="9"/>
        <v>0</v>
      </c>
      <c r="M88" s="40">
        <f t="shared" si="9"/>
        <v>0</v>
      </c>
      <c r="N88" s="40">
        <f t="shared" si="9"/>
        <v>0</v>
      </c>
      <c r="O88" s="40">
        <f t="shared" si="9"/>
        <v>799166.45</v>
      </c>
      <c r="P88" s="43">
        <f t="shared" si="9"/>
        <v>1373191.38</v>
      </c>
      <c r="Q88" s="43">
        <f t="shared" si="9"/>
        <v>186671.32</v>
      </c>
      <c r="R88" s="43">
        <f t="shared" si="9"/>
        <v>0</v>
      </c>
      <c r="S88" s="37">
        <f t="shared" si="9"/>
        <v>2359029.15</v>
      </c>
      <c r="T88" s="43"/>
      <c r="U88" s="43"/>
      <c r="V88" s="43"/>
      <c r="W88" s="43"/>
      <c r="X88" s="24"/>
      <c r="Y88" s="24"/>
      <c r="Z88" s="24"/>
    </row>
    <row r="89" ht="14.25" customHeight="1">
      <c r="A89" s="24"/>
      <c r="B89" s="230" t="s">
        <v>437</v>
      </c>
      <c r="C89" s="95">
        <f t="shared" ref="C89:S89" si="10">IFERROR(C88/C16,0)</f>
        <v>0.2363402745</v>
      </c>
      <c r="D89" s="95">
        <f t="shared" si="10"/>
        <v>0.1903417854</v>
      </c>
      <c r="E89" s="95">
        <f t="shared" si="10"/>
        <v>0.1496790186</v>
      </c>
      <c r="F89" s="95">
        <f t="shared" si="10"/>
        <v>0.2941017441</v>
      </c>
      <c r="G89" s="95">
        <f t="shared" si="10"/>
        <v>0.2987177918</v>
      </c>
      <c r="H89" s="95">
        <f t="shared" si="10"/>
        <v>0.2546905929</v>
      </c>
      <c r="I89" s="95">
        <f t="shared" si="10"/>
        <v>0</v>
      </c>
      <c r="J89" s="95">
        <f t="shared" si="10"/>
        <v>0</v>
      </c>
      <c r="K89" s="95">
        <f t="shared" si="10"/>
        <v>0</v>
      </c>
      <c r="L89" s="95">
        <f t="shared" si="10"/>
        <v>0</v>
      </c>
      <c r="M89" s="95">
        <f t="shared" si="10"/>
        <v>0</v>
      </c>
      <c r="N89" s="95">
        <f t="shared" si="10"/>
        <v>0</v>
      </c>
      <c r="O89" s="95">
        <f t="shared" si="10"/>
        <v>0.1931443582</v>
      </c>
      <c r="P89" s="43">
        <f t="shared" si="10"/>
        <v>0.2820488292</v>
      </c>
      <c r="Q89" s="43">
        <f t="shared" si="10"/>
        <v>0</v>
      </c>
      <c r="R89" s="43">
        <f t="shared" si="10"/>
        <v>0</v>
      </c>
      <c r="S89" s="95">
        <f t="shared" si="10"/>
        <v>0.2619311751</v>
      </c>
      <c r="T89" s="43"/>
      <c r="U89" s="43"/>
      <c r="V89" s="43"/>
      <c r="W89" s="43"/>
      <c r="X89" s="24"/>
      <c r="Y89" s="24"/>
      <c r="Z89" s="24"/>
    </row>
    <row r="90" ht="14.25" customHeight="1">
      <c r="A90" s="24"/>
      <c r="B90" s="230" t="s">
        <v>122</v>
      </c>
      <c r="C90" s="95">
        <f t="shared" ref="C90:S90" si="11">IFERROR(C32/C16,0)</f>
        <v>0.3912437815</v>
      </c>
      <c r="D90" s="95">
        <f t="shared" si="11"/>
        <v>0.5557002893</v>
      </c>
      <c r="E90" s="95">
        <f t="shared" si="11"/>
        <v>0.4503378483</v>
      </c>
      <c r="F90" s="95">
        <f t="shared" si="11"/>
        <v>0.300812733</v>
      </c>
      <c r="G90" s="95">
        <f t="shared" si="11"/>
        <v>0.3557757239</v>
      </c>
      <c r="H90" s="95">
        <f t="shared" si="11"/>
        <v>0.3813519296</v>
      </c>
      <c r="I90" s="95">
        <f t="shared" si="11"/>
        <v>0</v>
      </c>
      <c r="J90" s="95">
        <f t="shared" si="11"/>
        <v>0</v>
      </c>
      <c r="K90" s="95">
        <f t="shared" si="11"/>
        <v>0</v>
      </c>
      <c r="L90" s="95">
        <f t="shared" si="11"/>
        <v>0</v>
      </c>
      <c r="M90" s="95">
        <f t="shared" si="11"/>
        <v>0</v>
      </c>
      <c r="N90" s="95">
        <f t="shared" si="11"/>
        <v>0</v>
      </c>
      <c r="O90" s="95">
        <f t="shared" si="11"/>
        <v>0.4684056315</v>
      </c>
      <c r="P90" s="43">
        <f t="shared" si="11"/>
        <v>0.3457048767</v>
      </c>
      <c r="Q90" s="43">
        <f t="shared" si="11"/>
        <v>0</v>
      </c>
      <c r="R90" s="43">
        <f t="shared" si="11"/>
        <v>0</v>
      </c>
      <c r="S90" s="95">
        <f t="shared" si="11"/>
        <v>0.402075954</v>
      </c>
      <c r="T90" s="43"/>
      <c r="U90" s="43"/>
      <c r="V90" s="43"/>
      <c r="W90" s="43"/>
      <c r="X90" s="24"/>
      <c r="Y90" s="24"/>
      <c r="Z90" s="24"/>
    </row>
    <row r="91" ht="14.25" customHeight="1">
      <c r="A91" s="24"/>
      <c r="B91" s="230" t="s">
        <v>455</v>
      </c>
      <c r="C91" s="95">
        <f t="shared" ref="C91:S91" si="12">C31/C16</f>
        <v>0.5136115377</v>
      </c>
      <c r="D91" s="95">
        <f t="shared" si="12"/>
        <v>0.6287444799</v>
      </c>
      <c r="E91" s="95">
        <f t="shared" si="12"/>
        <v>0.4826145564</v>
      </c>
      <c r="F91" s="95">
        <f t="shared" si="12"/>
        <v>0.6026591526</v>
      </c>
      <c r="G91" s="95">
        <f t="shared" si="12"/>
        <v>0.6264535049</v>
      </c>
      <c r="H91" s="95">
        <f t="shared" si="12"/>
        <v>0.6355634549</v>
      </c>
      <c r="I91" s="95" t="str">
        <f t="shared" si="12"/>
        <v>#DIV/0!</v>
      </c>
      <c r="J91" s="95" t="str">
        <f t="shared" si="12"/>
        <v>#DIV/0!</v>
      </c>
      <c r="K91" s="95" t="str">
        <f t="shared" si="12"/>
        <v>#DIV/0!</v>
      </c>
      <c r="L91" s="95" t="str">
        <f t="shared" si="12"/>
        <v>#DIV/0!</v>
      </c>
      <c r="M91" s="95" t="str">
        <f t="shared" si="12"/>
        <v>#DIV/0!</v>
      </c>
      <c r="N91" s="95" t="str">
        <f t="shared" si="12"/>
        <v>#DIV/0!</v>
      </c>
      <c r="O91" s="95">
        <f t="shared" si="12"/>
        <v>0.5453285796</v>
      </c>
      <c r="P91" s="95">
        <f t="shared" si="12"/>
        <v>0.6214212078</v>
      </c>
      <c r="Q91" s="95" t="str">
        <f t="shared" si="12"/>
        <v>#DIV/0!</v>
      </c>
      <c r="R91" s="95" t="str">
        <f t="shared" si="12"/>
        <v>#DIV/0!</v>
      </c>
      <c r="S91" s="95">
        <f t="shared" si="12"/>
        <v>0.5864627967</v>
      </c>
      <c r="T91" s="43"/>
      <c r="U91" s="43"/>
      <c r="V91" s="43"/>
      <c r="W91" s="43"/>
      <c r="X91" s="24"/>
      <c r="Y91" s="24"/>
      <c r="Z91" s="24"/>
    </row>
    <row r="92" ht="14.25" customHeight="1">
      <c r="A92" s="24"/>
      <c r="B92" s="24"/>
      <c r="C92" s="24"/>
      <c r="D92" s="24"/>
      <c r="E92" s="24"/>
      <c r="F92" s="237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43"/>
      <c r="V92" s="43"/>
      <c r="W92" s="43"/>
      <c r="X92" s="24"/>
      <c r="Y92" s="24"/>
      <c r="Z92" s="24"/>
    </row>
    <row r="93" ht="14.25" customHeight="1">
      <c r="A93" s="24"/>
      <c r="B93" s="24"/>
      <c r="C93" s="24"/>
      <c r="D93" s="24"/>
      <c r="E93" s="24"/>
      <c r="F93" s="238"/>
      <c r="G93" s="239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43"/>
      <c r="V93" s="43"/>
      <c r="W93" s="43"/>
      <c r="X93" s="24"/>
      <c r="Y93" s="24"/>
      <c r="Z93" s="24"/>
    </row>
    <row r="94" ht="14.25" customHeight="1">
      <c r="A94" s="29" t="s">
        <v>608</v>
      </c>
      <c r="B94" s="88" t="s">
        <v>609</v>
      </c>
      <c r="C94" s="33">
        <f t="shared" ref="C94:E94" si="13">168787.07+SUM(C67:C68)</f>
        <v>322851.01</v>
      </c>
      <c r="D94" s="33">
        <f t="shared" si="13"/>
        <v>341300.65</v>
      </c>
      <c r="E94" s="33">
        <f t="shared" si="13"/>
        <v>317058.21</v>
      </c>
      <c r="F94" s="34">
        <v>488936.51</v>
      </c>
      <c r="G94" s="34">
        <v>414634.47</v>
      </c>
      <c r="H94" s="34">
        <v>227786.19</v>
      </c>
      <c r="I94" s="24"/>
      <c r="J94" s="24"/>
      <c r="K94" s="24"/>
      <c r="L94" s="24"/>
      <c r="M94" s="24"/>
      <c r="N94" s="24"/>
      <c r="O94" s="40">
        <f>SUM(C94:E94)</f>
        <v>981209.87</v>
      </c>
      <c r="P94" s="43">
        <f>SUM(F94:H94)</f>
        <v>1131357.17</v>
      </c>
      <c r="Q94" s="43">
        <f>SUM(I94:K94)</f>
        <v>0</v>
      </c>
      <c r="R94" s="43">
        <f>SUM(L94:N94)</f>
        <v>0</v>
      </c>
      <c r="S94" s="43">
        <f>SUM(C94:N94)</f>
        <v>2112567.04</v>
      </c>
      <c r="T94" s="43">
        <v>1559840.0</v>
      </c>
      <c r="U94" s="43">
        <f>S94-T94</f>
        <v>552727.04</v>
      </c>
      <c r="V94" s="43"/>
      <c r="W94" s="43"/>
      <c r="X94" s="24"/>
      <c r="Y94" s="24"/>
      <c r="Z94" s="24"/>
    </row>
    <row r="95" ht="14.25" customHeight="1">
      <c r="A95" s="24"/>
      <c r="B95" s="24"/>
      <c r="C95" s="96">
        <f t="shared" ref="C95:H95" si="14">C31-C32</f>
        <v>168787.07</v>
      </c>
      <c r="D95" s="96">
        <f t="shared" si="14"/>
        <v>108336.24</v>
      </c>
      <c r="E95" s="96">
        <f t="shared" si="14"/>
        <v>41158</v>
      </c>
      <c r="F95" s="96">
        <f t="shared" si="14"/>
        <v>503608.49</v>
      </c>
      <c r="G95" s="96">
        <f t="shared" si="14"/>
        <v>414634.47</v>
      </c>
      <c r="H95" s="96">
        <f t="shared" si="14"/>
        <v>424117.83</v>
      </c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43"/>
      <c r="V95" s="43"/>
      <c r="W95" s="43"/>
      <c r="X95" s="24"/>
      <c r="Y95" s="24"/>
      <c r="Z95" s="24"/>
    </row>
    <row r="96" ht="14.25" customHeight="1">
      <c r="A96" s="24"/>
      <c r="B96" s="24"/>
      <c r="C96" s="24"/>
      <c r="D96" s="237"/>
      <c r="E96" s="24"/>
      <c r="F96" s="238"/>
      <c r="G96" s="24"/>
      <c r="H96" s="24"/>
      <c r="I96" s="24"/>
      <c r="J96" s="242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43"/>
      <c r="V96" s="43"/>
      <c r="W96" s="43"/>
      <c r="X96" s="24"/>
      <c r="Y96" s="24"/>
      <c r="Z96" s="24"/>
    </row>
    <row r="97" ht="14.25" customHeight="1">
      <c r="A97" s="24"/>
      <c r="B97" s="24"/>
      <c r="C97" s="24"/>
      <c r="D97" s="237"/>
      <c r="E97" s="24"/>
      <c r="F97" s="238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43"/>
      <c r="V97" s="43"/>
      <c r="W97" s="43"/>
      <c r="X97" s="24"/>
      <c r="Y97" s="24"/>
      <c r="Z97" s="24"/>
    </row>
    <row r="98" ht="14.25" customHeight="1">
      <c r="A98" s="24"/>
      <c r="B98" s="24"/>
      <c r="C98" s="24"/>
      <c r="D98" s="237"/>
      <c r="E98" s="24"/>
      <c r="F98" s="238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43"/>
      <c r="V98" s="43"/>
      <c r="W98" s="43"/>
      <c r="X98" s="24"/>
      <c r="Y98" s="24"/>
      <c r="Z98" s="24"/>
    </row>
    <row r="99" ht="14.25" customHeight="1">
      <c r="A99" s="24"/>
      <c r="B99" s="24"/>
      <c r="C99" s="24"/>
      <c r="D99" s="237"/>
      <c r="E99" s="24"/>
      <c r="F99" s="238"/>
      <c r="G99" s="24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43"/>
      <c r="V99" s="43"/>
      <c r="W99" s="43"/>
      <c r="X99" s="24"/>
      <c r="Y99" s="24"/>
      <c r="Z99" s="24"/>
    </row>
    <row r="100" ht="14.25" customHeight="1">
      <c r="A100" s="24"/>
      <c r="B100" s="24"/>
      <c r="C100" s="24"/>
      <c r="D100" s="237"/>
      <c r="E100" s="24"/>
      <c r="F100" s="238"/>
      <c r="G100" s="237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43"/>
      <c r="V100" s="43"/>
      <c r="W100" s="43"/>
      <c r="X100" s="24"/>
      <c r="Y100" s="24"/>
      <c r="Z100" s="24"/>
    </row>
    <row r="101" ht="14.2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43"/>
      <c r="V101" s="43"/>
      <c r="W101" s="43"/>
      <c r="X101" s="24"/>
      <c r="Y101" s="24"/>
      <c r="Z101" s="24"/>
    </row>
    <row r="102" ht="14.25" customHeight="1">
      <c r="A102" s="24"/>
      <c r="B102" s="24"/>
      <c r="C102" s="24"/>
      <c r="D102" s="237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43"/>
      <c r="V102" s="43"/>
      <c r="W102" s="43"/>
      <c r="X102" s="24"/>
      <c r="Y102" s="24"/>
      <c r="Z102" s="24"/>
    </row>
    <row r="103" ht="14.25" customHeight="1">
      <c r="A103" s="24"/>
      <c r="B103" s="24"/>
      <c r="C103" s="24"/>
      <c r="D103" s="238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43"/>
      <c r="V103" s="43"/>
      <c r="W103" s="43"/>
      <c r="X103" s="24"/>
      <c r="Y103" s="24"/>
      <c r="Z103" s="24"/>
    </row>
    <row r="104" ht="14.2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43"/>
      <c r="V104" s="43"/>
      <c r="W104" s="43"/>
      <c r="X104" s="24"/>
      <c r="Y104" s="24"/>
      <c r="Z104" s="24"/>
    </row>
    <row r="105" ht="14.2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43"/>
      <c r="V105" s="43"/>
      <c r="W105" s="43"/>
      <c r="X105" s="24"/>
      <c r="Y105" s="24"/>
      <c r="Z105" s="24"/>
    </row>
    <row r="106" ht="14.2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43"/>
      <c r="V106" s="43"/>
      <c r="W106" s="43"/>
      <c r="X106" s="24"/>
      <c r="Y106" s="24"/>
      <c r="Z106" s="24"/>
    </row>
    <row r="107" ht="14.2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43"/>
      <c r="V107" s="43"/>
      <c r="W107" s="43"/>
      <c r="X107" s="24"/>
      <c r="Y107" s="24"/>
      <c r="Z107" s="24"/>
    </row>
    <row r="108" ht="14.2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43"/>
      <c r="V108" s="43"/>
      <c r="W108" s="43"/>
      <c r="X108" s="24"/>
      <c r="Y108" s="24"/>
      <c r="Z108" s="24"/>
    </row>
    <row r="109" ht="14.2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43"/>
      <c r="V109" s="43"/>
      <c r="W109" s="43"/>
      <c r="X109" s="24"/>
      <c r="Y109" s="24"/>
      <c r="Z109" s="24"/>
    </row>
    <row r="110" ht="14.2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43"/>
      <c r="V110" s="43"/>
      <c r="W110" s="43"/>
      <c r="X110" s="24"/>
      <c r="Y110" s="24"/>
      <c r="Z110" s="24"/>
    </row>
    <row r="111" ht="14.2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43"/>
      <c r="V111" s="43"/>
      <c r="W111" s="43"/>
      <c r="X111" s="24"/>
      <c r="Y111" s="24"/>
      <c r="Z111" s="24"/>
    </row>
    <row r="112" ht="14.2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43"/>
      <c r="V112" s="43"/>
      <c r="W112" s="43"/>
      <c r="X112" s="24"/>
      <c r="Y112" s="24"/>
      <c r="Z112" s="24"/>
    </row>
    <row r="113" ht="14.2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43"/>
      <c r="V113" s="43"/>
      <c r="W113" s="43"/>
      <c r="X113" s="24"/>
      <c r="Y113" s="24"/>
      <c r="Z113" s="24"/>
    </row>
    <row r="114" ht="14.2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43"/>
      <c r="V114" s="43"/>
      <c r="W114" s="43"/>
      <c r="X114" s="24"/>
      <c r="Y114" s="24"/>
      <c r="Z114" s="24"/>
    </row>
    <row r="115" ht="14.2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43"/>
      <c r="V115" s="43"/>
      <c r="W115" s="43"/>
      <c r="X115" s="24"/>
      <c r="Y115" s="24"/>
      <c r="Z115" s="24"/>
    </row>
    <row r="116" ht="14.2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43"/>
      <c r="V116" s="43"/>
      <c r="W116" s="43"/>
      <c r="X116" s="24"/>
      <c r="Y116" s="24"/>
      <c r="Z116" s="24"/>
    </row>
    <row r="117" ht="14.2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43"/>
      <c r="V117" s="43"/>
      <c r="W117" s="43"/>
      <c r="X117" s="24"/>
      <c r="Y117" s="24"/>
      <c r="Z117" s="24"/>
    </row>
    <row r="118" ht="14.2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43"/>
      <c r="V118" s="43"/>
      <c r="W118" s="43"/>
      <c r="X118" s="24"/>
      <c r="Y118" s="24"/>
      <c r="Z118" s="24"/>
    </row>
    <row r="119" ht="14.2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43"/>
      <c r="V119" s="43"/>
      <c r="W119" s="43"/>
      <c r="X119" s="24"/>
      <c r="Y119" s="24"/>
      <c r="Z119" s="24"/>
    </row>
    <row r="120" ht="14.2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43"/>
      <c r="V120" s="43"/>
      <c r="W120" s="43"/>
      <c r="X120" s="24"/>
      <c r="Y120" s="24"/>
      <c r="Z120" s="24"/>
    </row>
    <row r="121" ht="14.2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43"/>
      <c r="V121" s="43"/>
      <c r="W121" s="43"/>
      <c r="X121" s="24"/>
      <c r="Y121" s="24"/>
      <c r="Z121" s="24"/>
    </row>
    <row r="122" ht="14.2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43"/>
      <c r="V122" s="43"/>
      <c r="W122" s="43"/>
      <c r="X122" s="24"/>
      <c r="Y122" s="24"/>
      <c r="Z122" s="24"/>
    </row>
    <row r="123" ht="14.2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43"/>
      <c r="V123" s="43"/>
      <c r="W123" s="43"/>
      <c r="X123" s="24"/>
      <c r="Y123" s="24"/>
      <c r="Z123" s="24"/>
    </row>
    <row r="124" ht="14.2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43"/>
      <c r="V124" s="43"/>
      <c r="W124" s="43"/>
      <c r="X124" s="24"/>
      <c r="Y124" s="24"/>
      <c r="Z124" s="24"/>
    </row>
    <row r="125" ht="14.2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43"/>
      <c r="V125" s="43"/>
      <c r="W125" s="43"/>
      <c r="X125" s="24"/>
      <c r="Y125" s="24"/>
      <c r="Z125" s="24"/>
    </row>
    <row r="126" ht="14.2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43"/>
      <c r="V126" s="43"/>
      <c r="W126" s="43"/>
      <c r="X126" s="24"/>
      <c r="Y126" s="24"/>
      <c r="Z126" s="24"/>
    </row>
    <row r="127" ht="14.2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43"/>
      <c r="V127" s="43"/>
      <c r="W127" s="43"/>
      <c r="X127" s="24"/>
      <c r="Y127" s="24"/>
      <c r="Z127" s="24"/>
    </row>
    <row r="128" ht="14.2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43"/>
      <c r="V128" s="43"/>
      <c r="W128" s="43"/>
      <c r="X128" s="24"/>
      <c r="Y128" s="24"/>
      <c r="Z128" s="24"/>
    </row>
    <row r="129" ht="14.2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43"/>
      <c r="V129" s="43"/>
      <c r="W129" s="43"/>
      <c r="X129" s="24"/>
      <c r="Y129" s="24"/>
      <c r="Z129" s="24"/>
    </row>
    <row r="130" ht="14.2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43"/>
      <c r="V130" s="43"/>
      <c r="W130" s="43"/>
      <c r="X130" s="24"/>
      <c r="Y130" s="24"/>
      <c r="Z130" s="24"/>
    </row>
    <row r="131" ht="14.2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43"/>
      <c r="V131" s="43"/>
      <c r="W131" s="43"/>
      <c r="X131" s="24"/>
      <c r="Y131" s="24"/>
      <c r="Z131" s="24"/>
    </row>
    <row r="132" ht="14.2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43"/>
      <c r="V132" s="43"/>
      <c r="W132" s="43"/>
      <c r="X132" s="24"/>
      <c r="Y132" s="24"/>
      <c r="Z132" s="24"/>
    </row>
    <row r="133" ht="14.2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43"/>
      <c r="V133" s="43"/>
      <c r="W133" s="43"/>
      <c r="X133" s="24"/>
      <c r="Y133" s="24"/>
      <c r="Z133" s="24"/>
    </row>
    <row r="134" ht="14.2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43"/>
      <c r="V134" s="43"/>
      <c r="W134" s="43"/>
      <c r="X134" s="24"/>
      <c r="Y134" s="24"/>
      <c r="Z134" s="24"/>
    </row>
    <row r="135" ht="14.2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43"/>
      <c r="V135" s="43"/>
      <c r="W135" s="43"/>
      <c r="X135" s="24"/>
      <c r="Y135" s="24"/>
      <c r="Z135" s="24"/>
    </row>
    <row r="136" ht="14.2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43"/>
      <c r="V136" s="43"/>
      <c r="W136" s="43"/>
      <c r="X136" s="24"/>
      <c r="Y136" s="24"/>
      <c r="Z136" s="24"/>
    </row>
    <row r="137" ht="14.2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43"/>
      <c r="V137" s="43"/>
      <c r="W137" s="43"/>
      <c r="X137" s="24"/>
      <c r="Y137" s="24"/>
      <c r="Z137" s="24"/>
    </row>
    <row r="138" ht="14.2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43"/>
      <c r="V138" s="43"/>
      <c r="W138" s="43"/>
      <c r="X138" s="24"/>
      <c r="Y138" s="24"/>
      <c r="Z138" s="24"/>
    </row>
    <row r="139" ht="14.2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43"/>
      <c r="V139" s="43"/>
      <c r="W139" s="43"/>
      <c r="X139" s="24"/>
      <c r="Y139" s="24"/>
      <c r="Z139" s="24"/>
    </row>
    <row r="140" ht="14.2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43"/>
      <c r="V140" s="43"/>
      <c r="W140" s="43"/>
      <c r="X140" s="24"/>
      <c r="Y140" s="24"/>
      <c r="Z140" s="24"/>
    </row>
    <row r="141" ht="14.2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43"/>
      <c r="V141" s="43"/>
      <c r="W141" s="43"/>
      <c r="X141" s="24"/>
      <c r="Y141" s="24"/>
      <c r="Z141" s="24"/>
    </row>
    <row r="142" ht="14.2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43"/>
      <c r="V142" s="43"/>
      <c r="W142" s="43"/>
      <c r="X142" s="24"/>
      <c r="Y142" s="24"/>
      <c r="Z142" s="24"/>
    </row>
    <row r="143" ht="14.2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43"/>
      <c r="V143" s="43"/>
      <c r="W143" s="43"/>
      <c r="X143" s="24"/>
      <c r="Y143" s="24"/>
      <c r="Z143" s="24"/>
    </row>
    <row r="144" ht="14.2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43"/>
      <c r="V144" s="43"/>
      <c r="W144" s="43"/>
      <c r="X144" s="24"/>
      <c r="Y144" s="24"/>
      <c r="Z144" s="24"/>
    </row>
    <row r="145" ht="14.2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43"/>
      <c r="V145" s="43"/>
      <c r="W145" s="43"/>
      <c r="X145" s="24"/>
      <c r="Y145" s="24"/>
      <c r="Z145" s="24"/>
    </row>
    <row r="146" ht="14.2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43"/>
      <c r="V146" s="43"/>
      <c r="W146" s="43"/>
      <c r="X146" s="24"/>
      <c r="Y146" s="24"/>
      <c r="Z146" s="24"/>
    </row>
    <row r="147" ht="14.2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43"/>
      <c r="V147" s="43"/>
      <c r="W147" s="43"/>
      <c r="X147" s="24"/>
      <c r="Y147" s="24"/>
      <c r="Z147" s="24"/>
    </row>
    <row r="148" ht="14.2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43"/>
      <c r="V148" s="43"/>
      <c r="W148" s="43"/>
      <c r="X148" s="24"/>
      <c r="Y148" s="24"/>
      <c r="Z148" s="24"/>
    </row>
    <row r="149" ht="14.2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43"/>
      <c r="V149" s="43"/>
      <c r="W149" s="43"/>
      <c r="X149" s="24"/>
      <c r="Y149" s="24"/>
      <c r="Z149" s="24"/>
    </row>
    <row r="150" ht="14.2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43"/>
      <c r="V150" s="43"/>
      <c r="W150" s="43"/>
      <c r="X150" s="24"/>
      <c r="Y150" s="24"/>
      <c r="Z150" s="24"/>
    </row>
    <row r="151" ht="14.2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43"/>
      <c r="V151" s="43"/>
      <c r="W151" s="43"/>
      <c r="X151" s="24"/>
      <c r="Y151" s="24"/>
      <c r="Z151" s="24"/>
    </row>
    <row r="152" ht="14.2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43"/>
      <c r="V152" s="43"/>
      <c r="W152" s="43"/>
      <c r="X152" s="24"/>
      <c r="Y152" s="24"/>
      <c r="Z152" s="24"/>
    </row>
    <row r="153" ht="14.2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43"/>
      <c r="V153" s="43"/>
      <c r="W153" s="43"/>
      <c r="X153" s="24"/>
      <c r="Y153" s="24"/>
      <c r="Z153" s="24"/>
    </row>
    <row r="154" ht="14.2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43"/>
      <c r="V154" s="43"/>
      <c r="W154" s="43"/>
      <c r="X154" s="24"/>
      <c r="Y154" s="24"/>
      <c r="Z154" s="24"/>
    </row>
    <row r="155" ht="14.2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43"/>
      <c r="V155" s="43"/>
      <c r="W155" s="43"/>
      <c r="X155" s="24"/>
      <c r="Y155" s="24"/>
      <c r="Z155" s="24"/>
    </row>
    <row r="156" ht="14.2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43"/>
      <c r="V156" s="43"/>
      <c r="W156" s="43"/>
      <c r="X156" s="24"/>
      <c r="Y156" s="24"/>
      <c r="Z156" s="24"/>
    </row>
    <row r="157" ht="14.2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43"/>
      <c r="V157" s="43"/>
      <c r="W157" s="43"/>
      <c r="X157" s="24"/>
      <c r="Y157" s="24"/>
      <c r="Z157" s="24"/>
    </row>
    <row r="158" ht="14.2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43"/>
      <c r="V158" s="43"/>
      <c r="W158" s="43"/>
      <c r="X158" s="24"/>
      <c r="Y158" s="24"/>
      <c r="Z158" s="24"/>
    </row>
    <row r="159" ht="14.2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43"/>
      <c r="V159" s="43"/>
      <c r="W159" s="43"/>
      <c r="X159" s="24"/>
      <c r="Y159" s="24"/>
      <c r="Z159" s="24"/>
    </row>
    <row r="160" ht="14.2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43"/>
      <c r="V160" s="43"/>
      <c r="W160" s="43"/>
      <c r="X160" s="24"/>
      <c r="Y160" s="24"/>
      <c r="Z160" s="24"/>
    </row>
    <row r="161" ht="14.2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43"/>
      <c r="V161" s="43"/>
      <c r="W161" s="43"/>
      <c r="X161" s="24"/>
      <c r="Y161" s="24"/>
      <c r="Z161" s="24"/>
    </row>
    <row r="162" ht="14.2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43"/>
      <c r="V162" s="43"/>
      <c r="W162" s="43"/>
      <c r="X162" s="24"/>
      <c r="Y162" s="24"/>
      <c r="Z162" s="24"/>
    </row>
    <row r="163" ht="14.2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43"/>
      <c r="V163" s="43"/>
      <c r="W163" s="43"/>
      <c r="X163" s="24"/>
      <c r="Y163" s="24"/>
      <c r="Z163" s="24"/>
    </row>
    <row r="164" ht="14.2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43"/>
      <c r="V164" s="43"/>
      <c r="W164" s="43"/>
      <c r="X164" s="24"/>
      <c r="Y164" s="24"/>
      <c r="Z164" s="24"/>
    </row>
    <row r="165" ht="14.2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43"/>
      <c r="V165" s="43"/>
      <c r="W165" s="43"/>
      <c r="X165" s="24"/>
      <c r="Y165" s="24"/>
      <c r="Z165" s="24"/>
    </row>
    <row r="166" ht="14.2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43"/>
      <c r="V166" s="43"/>
      <c r="W166" s="43"/>
      <c r="X166" s="24"/>
      <c r="Y166" s="24"/>
      <c r="Z166" s="24"/>
    </row>
    <row r="167" ht="14.2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43"/>
      <c r="V167" s="43"/>
      <c r="W167" s="43"/>
      <c r="X167" s="24"/>
      <c r="Y167" s="24"/>
      <c r="Z167" s="24"/>
    </row>
    <row r="168" ht="14.2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43"/>
      <c r="V168" s="43"/>
      <c r="W168" s="43"/>
      <c r="X168" s="24"/>
      <c r="Y168" s="24"/>
      <c r="Z168" s="24"/>
    </row>
    <row r="169" ht="14.2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43"/>
      <c r="V169" s="43"/>
      <c r="W169" s="43"/>
      <c r="X169" s="24"/>
      <c r="Y169" s="24"/>
      <c r="Z169" s="24"/>
    </row>
    <row r="170" ht="14.2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43"/>
      <c r="V170" s="43"/>
      <c r="W170" s="43"/>
      <c r="X170" s="24"/>
      <c r="Y170" s="24"/>
      <c r="Z170" s="24"/>
    </row>
    <row r="171" ht="14.2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43"/>
      <c r="V171" s="43"/>
      <c r="W171" s="43"/>
      <c r="X171" s="24"/>
      <c r="Y171" s="24"/>
      <c r="Z171" s="24"/>
    </row>
    <row r="172" ht="14.2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43"/>
      <c r="V172" s="43"/>
      <c r="W172" s="43"/>
      <c r="X172" s="24"/>
      <c r="Y172" s="24"/>
      <c r="Z172" s="24"/>
    </row>
    <row r="173" ht="14.2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43"/>
      <c r="V173" s="43"/>
      <c r="W173" s="43"/>
      <c r="X173" s="24"/>
      <c r="Y173" s="24"/>
      <c r="Z173" s="24"/>
    </row>
    <row r="174" ht="14.2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43"/>
      <c r="V174" s="43"/>
      <c r="W174" s="43"/>
      <c r="X174" s="24"/>
      <c r="Y174" s="24"/>
      <c r="Z174" s="24"/>
    </row>
    <row r="175" ht="14.2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43"/>
      <c r="V175" s="43"/>
      <c r="W175" s="43"/>
      <c r="X175" s="24"/>
      <c r="Y175" s="24"/>
      <c r="Z175" s="24"/>
    </row>
    <row r="176" ht="14.2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43"/>
      <c r="V176" s="43"/>
      <c r="W176" s="43"/>
      <c r="X176" s="24"/>
      <c r="Y176" s="24"/>
      <c r="Z176" s="24"/>
    </row>
    <row r="177" ht="14.2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43"/>
      <c r="V177" s="43"/>
      <c r="W177" s="43"/>
      <c r="X177" s="24"/>
      <c r="Y177" s="24"/>
      <c r="Z177" s="24"/>
    </row>
    <row r="178" ht="14.2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43"/>
      <c r="V178" s="43"/>
      <c r="W178" s="43"/>
      <c r="X178" s="24"/>
      <c r="Y178" s="24"/>
      <c r="Z178" s="24"/>
    </row>
    <row r="179" ht="14.2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43"/>
      <c r="V179" s="43"/>
      <c r="W179" s="43"/>
      <c r="X179" s="24"/>
      <c r="Y179" s="24"/>
      <c r="Z179" s="24"/>
    </row>
    <row r="180" ht="14.2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43"/>
      <c r="V180" s="43"/>
      <c r="W180" s="43"/>
      <c r="X180" s="24"/>
      <c r="Y180" s="24"/>
      <c r="Z180" s="24"/>
    </row>
    <row r="181" ht="14.2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43"/>
      <c r="V181" s="43"/>
      <c r="W181" s="43"/>
      <c r="X181" s="24"/>
      <c r="Y181" s="24"/>
      <c r="Z181" s="24"/>
    </row>
    <row r="182" ht="14.2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43"/>
      <c r="V182" s="43"/>
      <c r="W182" s="43"/>
      <c r="X182" s="24"/>
      <c r="Y182" s="24"/>
      <c r="Z182" s="24"/>
    </row>
    <row r="183" ht="14.2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43"/>
      <c r="V183" s="43"/>
      <c r="W183" s="43"/>
      <c r="X183" s="24"/>
      <c r="Y183" s="24"/>
      <c r="Z183" s="24"/>
    </row>
    <row r="184" ht="14.2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43"/>
      <c r="V184" s="43"/>
      <c r="W184" s="43"/>
      <c r="X184" s="24"/>
      <c r="Y184" s="24"/>
      <c r="Z184" s="24"/>
    </row>
    <row r="185" ht="14.2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43"/>
      <c r="V185" s="43"/>
      <c r="W185" s="43"/>
      <c r="X185" s="24"/>
      <c r="Y185" s="24"/>
      <c r="Z185" s="24"/>
    </row>
    <row r="186" ht="14.2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43"/>
      <c r="V186" s="43"/>
      <c r="W186" s="43"/>
      <c r="X186" s="24"/>
      <c r="Y186" s="24"/>
      <c r="Z186" s="24"/>
    </row>
    <row r="187" ht="14.2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43"/>
      <c r="V187" s="43"/>
      <c r="W187" s="43"/>
      <c r="X187" s="24"/>
      <c r="Y187" s="24"/>
      <c r="Z187" s="24"/>
    </row>
    <row r="188" ht="14.2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43"/>
      <c r="V188" s="43"/>
      <c r="W188" s="43"/>
      <c r="X188" s="24"/>
      <c r="Y188" s="24"/>
      <c r="Z188" s="24"/>
    </row>
    <row r="189" ht="14.2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43"/>
      <c r="V189" s="43"/>
      <c r="W189" s="43"/>
      <c r="X189" s="24"/>
      <c r="Y189" s="24"/>
      <c r="Z189" s="24"/>
    </row>
    <row r="190" ht="14.2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43"/>
      <c r="V190" s="43"/>
      <c r="W190" s="43"/>
      <c r="X190" s="24"/>
      <c r="Y190" s="24"/>
      <c r="Z190" s="24"/>
    </row>
    <row r="191" ht="14.2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43"/>
      <c r="V191" s="43"/>
      <c r="W191" s="43"/>
      <c r="X191" s="24"/>
      <c r="Y191" s="24"/>
      <c r="Z191" s="24"/>
    </row>
    <row r="192" ht="14.2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43"/>
      <c r="V192" s="43"/>
      <c r="W192" s="43"/>
      <c r="X192" s="24"/>
      <c r="Y192" s="24"/>
      <c r="Z192" s="24"/>
    </row>
    <row r="193" ht="14.2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43"/>
      <c r="V193" s="43"/>
      <c r="W193" s="43"/>
      <c r="X193" s="24"/>
      <c r="Y193" s="24"/>
      <c r="Z193" s="24"/>
    </row>
    <row r="194" ht="14.2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43"/>
      <c r="V194" s="43"/>
      <c r="W194" s="43"/>
      <c r="X194" s="24"/>
      <c r="Y194" s="24"/>
      <c r="Z194" s="24"/>
    </row>
    <row r="195" ht="14.2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43"/>
      <c r="V195" s="43"/>
      <c r="W195" s="43"/>
      <c r="X195" s="24"/>
      <c r="Y195" s="24"/>
      <c r="Z195" s="24"/>
    </row>
    <row r="196" ht="14.2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43"/>
      <c r="V196" s="43"/>
      <c r="W196" s="43"/>
      <c r="X196" s="24"/>
      <c r="Y196" s="24"/>
      <c r="Z196" s="24"/>
    </row>
    <row r="197" ht="14.2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43"/>
      <c r="V197" s="43"/>
      <c r="W197" s="43"/>
      <c r="X197" s="24"/>
      <c r="Y197" s="24"/>
      <c r="Z197" s="24"/>
    </row>
    <row r="198" ht="14.2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43"/>
      <c r="V198" s="43"/>
      <c r="W198" s="43"/>
      <c r="X198" s="24"/>
      <c r="Y198" s="24"/>
      <c r="Z198" s="24"/>
    </row>
    <row r="199" ht="14.2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43"/>
      <c r="V199" s="43"/>
      <c r="W199" s="43"/>
      <c r="X199" s="24"/>
      <c r="Y199" s="24"/>
      <c r="Z199" s="24"/>
    </row>
    <row r="200" ht="14.2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43"/>
      <c r="V200" s="43"/>
      <c r="W200" s="43"/>
      <c r="X200" s="24"/>
      <c r="Y200" s="24"/>
      <c r="Z200" s="24"/>
    </row>
    <row r="201" ht="14.2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43"/>
      <c r="V201" s="43"/>
      <c r="W201" s="43"/>
      <c r="X201" s="24"/>
      <c r="Y201" s="24"/>
      <c r="Z201" s="24"/>
    </row>
    <row r="202" ht="14.2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43"/>
      <c r="V202" s="43"/>
      <c r="W202" s="43"/>
      <c r="X202" s="24"/>
      <c r="Y202" s="24"/>
      <c r="Z202" s="24"/>
    </row>
    <row r="203" ht="14.2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43"/>
      <c r="V203" s="43"/>
      <c r="W203" s="43"/>
      <c r="X203" s="24"/>
      <c r="Y203" s="24"/>
      <c r="Z203" s="24"/>
    </row>
    <row r="204" ht="14.2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43"/>
      <c r="V204" s="43"/>
      <c r="W204" s="43"/>
      <c r="X204" s="24"/>
      <c r="Y204" s="24"/>
      <c r="Z204" s="24"/>
    </row>
    <row r="205" ht="14.2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43"/>
      <c r="V205" s="43"/>
      <c r="W205" s="43"/>
      <c r="X205" s="24"/>
      <c r="Y205" s="24"/>
      <c r="Z205" s="24"/>
    </row>
    <row r="206" ht="14.2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43"/>
      <c r="V206" s="43"/>
      <c r="W206" s="43"/>
      <c r="X206" s="24"/>
      <c r="Y206" s="24"/>
      <c r="Z206" s="24"/>
    </row>
    <row r="207" ht="14.2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43"/>
      <c r="V207" s="43"/>
      <c r="W207" s="43"/>
      <c r="X207" s="24"/>
      <c r="Y207" s="24"/>
      <c r="Z207" s="24"/>
    </row>
    <row r="208" ht="14.2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43"/>
      <c r="V208" s="43"/>
      <c r="W208" s="43"/>
      <c r="X208" s="24"/>
      <c r="Y208" s="24"/>
      <c r="Z208" s="24"/>
    </row>
    <row r="209" ht="14.2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43"/>
      <c r="V209" s="43"/>
      <c r="W209" s="43"/>
      <c r="X209" s="24"/>
      <c r="Y209" s="24"/>
      <c r="Z209" s="24"/>
    </row>
    <row r="210" ht="14.2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43"/>
      <c r="V210" s="43"/>
      <c r="W210" s="43"/>
      <c r="X210" s="24"/>
      <c r="Y210" s="24"/>
      <c r="Z210" s="24"/>
    </row>
    <row r="211" ht="14.2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43"/>
      <c r="V211" s="43"/>
      <c r="W211" s="43"/>
      <c r="X211" s="24"/>
      <c r="Y211" s="24"/>
      <c r="Z211" s="24"/>
    </row>
    <row r="212" ht="14.2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43"/>
      <c r="V212" s="43"/>
      <c r="W212" s="43"/>
      <c r="X212" s="24"/>
      <c r="Y212" s="24"/>
      <c r="Z212" s="24"/>
    </row>
    <row r="213" ht="14.2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43"/>
      <c r="V213" s="43"/>
      <c r="W213" s="43"/>
      <c r="X213" s="24"/>
      <c r="Y213" s="24"/>
      <c r="Z213" s="24"/>
    </row>
    <row r="214" ht="14.2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43"/>
      <c r="V214" s="43"/>
      <c r="W214" s="43"/>
      <c r="X214" s="24"/>
      <c r="Y214" s="24"/>
      <c r="Z214" s="24"/>
    </row>
    <row r="215" ht="14.2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43"/>
      <c r="V215" s="43"/>
      <c r="W215" s="43"/>
      <c r="X215" s="24"/>
      <c r="Y215" s="24"/>
      <c r="Z215" s="24"/>
    </row>
    <row r="216" ht="14.2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43"/>
      <c r="V216" s="43"/>
      <c r="W216" s="43"/>
      <c r="X216" s="24"/>
      <c r="Y216" s="24"/>
      <c r="Z216" s="24"/>
    </row>
    <row r="217" ht="14.2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43"/>
      <c r="V217" s="43"/>
      <c r="W217" s="43"/>
      <c r="X217" s="24"/>
      <c r="Y217" s="24"/>
      <c r="Z217" s="24"/>
    </row>
    <row r="218" ht="14.2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43"/>
      <c r="V218" s="43"/>
      <c r="W218" s="43"/>
      <c r="X218" s="24"/>
      <c r="Y218" s="24"/>
      <c r="Z218" s="24"/>
    </row>
    <row r="219" ht="14.2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43"/>
      <c r="V219" s="43"/>
      <c r="W219" s="43"/>
      <c r="X219" s="24"/>
      <c r="Y219" s="24"/>
      <c r="Z219" s="24"/>
    </row>
    <row r="220" ht="14.2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43"/>
      <c r="V220" s="43"/>
      <c r="W220" s="43"/>
      <c r="X220" s="24"/>
      <c r="Y220" s="24"/>
      <c r="Z220" s="24"/>
    </row>
    <row r="221" ht="14.2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43"/>
      <c r="V221" s="43"/>
      <c r="W221" s="43"/>
      <c r="X221" s="24"/>
      <c r="Y221" s="24"/>
      <c r="Z221" s="24"/>
    </row>
    <row r="222" ht="14.2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43"/>
      <c r="V222" s="43"/>
      <c r="W222" s="43"/>
      <c r="X222" s="24"/>
      <c r="Y222" s="24"/>
      <c r="Z222" s="24"/>
    </row>
    <row r="223" ht="14.2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43"/>
      <c r="V223" s="43"/>
      <c r="W223" s="43"/>
      <c r="X223" s="24"/>
      <c r="Y223" s="24"/>
      <c r="Z223" s="24"/>
    </row>
    <row r="224" ht="14.2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43"/>
      <c r="V224" s="43"/>
      <c r="W224" s="43"/>
      <c r="X224" s="24"/>
      <c r="Y224" s="24"/>
      <c r="Z224" s="24"/>
    </row>
    <row r="225" ht="14.2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43"/>
      <c r="V225" s="43"/>
      <c r="W225" s="43"/>
      <c r="X225" s="24"/>
      <c r="Y225" s="24"/>
      <c r="Z225" s="24"/>
    </row>
    <row r="226" ht="14.2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43"/>
      <c r="V226" s="43"/>
      <c r="W226" s="43"/>
      <c r="X226" s="24"/>
      <c r="Y226" s="24"/>
      <c r="Z226" s="24"/>
    </row>
    <row r="227" ht="14.2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43"/>
      <c r="V227" s="43"/>
      <c r="W227" s="43"/>
      <c r="X227" s="24"/>
      <c r="Y227" s="24"/>
      <c r="Z227" s="24"/>
    </row>
    <row r="228" ht="14.2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43"/>
      <c r="V228" s="43"/>
      <c r="W228" s="43"/>
      <c r="X228" s="24"/>
      <c r="Y228" s="24"/>
      <c r="Z228" s="24"/>
    </row>
    <row r="229" ht="14.2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43"/>
      <c r="V229" s="43"/>
      <c r="W229" s="43"/>
      <c r="X229" s="24"/>
      <c r="Y229" s="24"/>
      <c r="Z229" s="24"/>
    </row>
    <row r="230" ht="14.2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43"/>
      <c r="V230" s="43"/>
      <c r="W230" s="43"/>
      <c r="X230" s="24"/>
      <c r="Y230" s="24"/>
      <c r="Z230" s="24"/>
    </row>
    <row r="231" ht="14.2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43"/>
      <c r="V231" s="43"/>
      <c r="W231" s="43"/>
      <c r="X231" s="24"/>
      <c r="Y231" s="24"/>
      <c r="Z231" s="24"/>
    </row>
    <row r="232" ht="14.2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43"/>
      <c r="V232" s="43"/>
      <c r="W232" s="43"/>
      <c r="X232" s="24"/>
      <c r="Y232" s="24"/>
      <c r="Z232" s="24"/>
    </row>
    <row r="233" ht="14.2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43"/>
      <c r="V233" s="43"/>
      <c r="W233" s="43"/>
      <c r="X233" s="24"/>
      <c r="Y233" s="24"/>
      <c r="Z233" s="24"/>
    </row>
    <row r="234" ht="14.2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43"/>
      <c r="V234" s="43"/>
      <c r="W234" s="43"/>
      <c r="X234" s="24"/>
      <c r="Y234" s="24"/>
      <c r="Z234" s="24"/>
    </row>
    <row r="235" ht="14.2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43"/>
      <c r="V235" s="43"/>
      <c r="W235" s="43"/>
      <c r="X235" s="24"/>
      <c r="Y235" s="24"/>
      <c r="Z235" s="24"/>
    </row>
    <row r="236" ht="14.2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43"/>
      <c r="V236" s="43"/>
      <c r="W236" s="43"/>
      <c r="X236" s="24"/>
      <c r="Y236" s="24"/>
      <c r="Z236" s="24"/>
    </row>
    <row r="237" ht="14.2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43"/>
      <c r="V237" s="43"/>
      <c r="W237" s="43"/>
      <c r="X237" s="24"/>
      <c r="Y237" s="24"/>
      <c r="Z237" s="24"/>
    </row>
    <row r="238" ht="14.2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43"/>
      <c r="V238" s="43"/>
      <c r="W238" s="43"/>
      <c r="X238" s="24"/>
      <c r="Y238" s="24"/>
      <c r="Z238" s="24"/>
    </row>
    <row r="239" ht="14.2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43"/>
      <c r="V239" s="43"/>
      <c r="W239" s="43"/>
      <c r="X239" s="24"/>
      <c r="Y239" s="24"/>
      <c r="Z239" s="24"/>
    </row>
    <row r="240" ht="14.2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43"/>
      <c r="V240" s="43"/>
      <c r="W240" s="43"/>
      <c r="X240" s="24"/>
      <c r="Y240" s="24"/>
      <c r="Z240" s="24"/>
    </row>
    <row r="241" ht="14.2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43"/>
      <c r="V241" s="43"/>
      <c r="W241" s="43"/>
      <c r="X241" s="24"/>
      <c r="Y241" s="24"/>
      <c r="Z241" s="24"/>
    </row>
    <row r="242" ht="14.2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43"/>
      <c r="V242" s="43"/>
      <c r="W242" s="43"/>
      <c r="X242" s="24"/>
      <c r="Y242" s="24"/>
      <c r="Z242" s="24"/>
    </row>
    <row r="243" ht="14.2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43"/>
      <c r="V243" s="43"/>
      <c r="W243" s="43"/>
      <c r="X243" s="24"/>
      <c r="Y243" s="24"/>
      <c r="Z243" s="24"/>
    </row>
    <row r="244" ht="14.2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43"/>
      <c r="V244" s="43"/>
      <c r="W244" s="43"/>
      <c r="X244" s="24"/>
      <c r="Y244" s="24"/>
      <c r="Z244" s="24"/>
    </row>
    <row r="245" ht="14.2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43"/>
      <c r="V245" s="43"/>
      <c r="W245" s="43"/>
      <c r="X245" s="24"/>
      <c r="Y245" s="24"/>
      <c r="Z245" s="24"/>
    </row>
    <row r="246" ht="14.2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43"/>
      <c r="V246" s="43"/>
      <c r="W246" s="43"/>
      <c r="X246" s="24"/>
      <c r="Y246" s="24"/>
      <c r="Z246" s="24"/>
    </row>
    <row r="247" ht="14.2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43"/>
      <c r="V247" s="43"/>
      <c r="W247" s="43"/>
      <c r="X247" s="24"/>
      <c r="Y247" s="24"/>
      <c r="Z247" s="24"/>
    </row>
    <row r="248" ht="14.2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43"/>
      <c r="V248" s="43"/>
      <c r="W248" s="43"/>
      <c r="X248" s="24"/>
      <c r="Y248" s="24"/>
      <c r="Z248" s="24"/>
    </row>
    <row r="249" ht="14.2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43"/>
      <c r="V249" s="43"/>
      <c r="W249" s="43"/>
      <c r="X249" s="24"/>
      <c r="Y249" s="24"/>
      <c r="Z249" s="24"/>
    </row>
    <row r="250" ht="14.2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43"/>
      <c r="V250" s="43"/>
      <c r="W250" s="43"/>
      <c r="X250" s="24"/>
      <c r="Y250" s="24"/>
      <c r="Z250" s="24"/>
    </row>
    <row r="251" ht="14.2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43"/>
      <c r="V251" s="43"/>
      <c r="W251" s="43"/>
      <c r="X251" s="24"/>
      <c r="Y251" s="24"/>
      <c r="Z251" s="24"/>
    </row>
    <row r="252" ht="14.2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43"/>
      <c r="V252" s="43"/>
      <c r="W252" s="43"/>
      <c r="X252" s="24"/>
      <c r="Y252" s="24"/>
      <c r="Z252" s="24"/>
    </row>
    <row r="253" ht="14.2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43"/>
      <c r="V253" s="43"/>
      <c r="W253" s="43"/>
      <c r="X253" s="24"/>
      <c r="Y253" s="24"/>
      <c r="Z253" s="24"/>
    </row>
    <row r="254" ht="14.2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43"/>
      <c r="V254" s="43"/>
      <c r="W254" s="43"/>
      <c r="X254" s="24"/>
      <c r="Y254" s="24"/>
      <c r="Z254" s="24"/>
    </row>
    <row r="255" ht="14.2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43"/>
      <c r="V255" s="43"/>
      <c r="W255" s="43"/>
      <c r="X255" s="24"/>
      <c r="Y255" s="24"/>
      <c r="Z255" s="24"/>
    </row>
    <row r="256" ht="14.2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43"/>
      <c r="V256" s="43"/>
      <c r="W256" s="43"/>
      <c r="X256" s="24"/>
      <c r="Y256" s="24"/>
      <c r="Z256" s="24"/>
    </row>
    <row r="257" ht="14.2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43"/>
      <c r="V257" s="43"/>
      <c r="W257" s="43"/>
      <c r="X257" s="24"/>
      <c r="Y257" s="24"/>
      <c r="Z257" s="24"/>
    </row>
    <row r="258" ht="14.2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43"/>
      <c r="V258" s="43"/>
      <c r="W258" s="43"/>
      <c r="X258" s="24"/>
      <c r="Y258" s="24"/>
      <c r="Z258" s="24"/>
    </row>
    <row r="259" ht="14.2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43"/>
      <c r="V259" s="43"/>
      <c r="W259" s="43"/>
      <c r="X259" s="24"/>
      <c r="Y259" s="24"/>
      <c r="Z259" s="24"/>
    </row>
    <row r="260" ht="14.2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43"/>
      <c r="V260" s="43"/>
      <c r="W260" s="43"/>
      <c r="X260" s="24"/>
      <c r="Y260" s="24"/>
      <c r="Z260" s="24"/>
    </row>
    <row r="261" ht="14.2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43"/>
      <c r="V261" s="43"/>
      <c r="W261" s="43"/>
      <c r="X261" s="24"/>
      <c r="Y261" s="24"/>
      <c r="Z261" s="24"/>
    </row>
    <row r="262" ht="14.2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43"/>
      <c r="V262" s="43"/>
      <c r="W262" s="43"/>
      <c r="X262" s="24"/>
      <c r="Y262" s="24"/>
      <c r="Z262" s="24"/>
    </row>
    <row r="263" ht="14.2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43"/>
      <c r="V263" s="43"/>
      <c r="W263" s="43"/>
      <c r="X263" s="24"/>
      <c r="Y263" s="24"/>
      <c r="Z263" s="24"/>
    </row>
    <row r="264" ht="14.2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43"/>
      <c r="V264" s="43"/>
      <c r="W264" s="43"/>
      <c r="X264" s="24"/>
      <c r="Y264" s="24"/>
      <c r="Z264" s="24"/>
    </row>
    <row r="265" ht="14.2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43"/>
      <c r="V265" s="43"/>
      <c r="W265" s="43"/>
      <c r="X265" s="24"/>
      <c r="Y265" s="24"/>
      <c r="Z265" s="24"/>
    </row>
    <row r="266" ht="14.2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43"/>
      <c r="V266" s="43"/>
      <c r="W266" s="43"/>
      <c r="X266" s="24"/>
      <c r="Y266" s="24"/>
      <c r="Z266" s="24"/>
    </row>
    <row r="267" ht="14.2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43"/>
      <c r="V267" s="43"/>
      <c r="W267" s="43"/>
      <c r="X267" s="24"/>
      <c r="Y267" s="24"/>
      <c r="Z267" s="24"/>
    </row>
    <row r="268" ht="14.2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43"/>
      <c r="V268" s="43"/>
      <c r="W268" s="43"/>
      <c r="X268" s="24"/>
      <c r="Y268" s="24"/>
      <c r="Z268" s="24"/>
    </row>
    <row r="269" ht="14.2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43"/>
      <c r="V269" s="43"/>
      <c r="W269" s="43"/>
      <c r="X269" s="24"/>
      <c r="Y269" s="24"/>
      <c r="Z269" s="24"/>
    </row>
    <row r="270" ht="14.2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43"/>
      <c r="V270" s="43"/>
      <c r="W270" s="43"/>
      <c r="X270" s="24"/>
      <c r="Y270" s="24"/>
      <c r="Z270" s="24"/>
    </row>
    <row r="271" ht="14.2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43"/>
      <c r="V271" s="43"/>
      <c r="W271" s="43"/>
      <c r="X271" s="24"/>
      <c r="Y271" s="24"/>
      <c r="Z271" s="24"/>
    </row>
    <row r="272" ht="14.2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43"/>
      <c r="V272" s="43"/>
      <c r="W272" s="43"/>
      <c r="X272" s="24"/>
      <c r="Y272" s="24"/>
      <c r="Z272" s="24"/>
    </row>
    <row r="273" ht="14.2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43"/>
      <c r="V273" s="43"/>
      <c r="W273" s="43"/>
      <c r="X273" s="24"/>
      <c r="Y273" s="24"/>
      <c r="Z273" s="24"/>
    </row>
    <row r="274" ht="14.2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43"/>
      <c r="V274" s="43"/>
      <c r="W274" s="43"/>
      <c r="X274" s="24"/>
      <c r="Y274" s="24"/>
      <c r="Z274" s="24"/>
    </row>
    <row r="275" ht="14.2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43"/>
      <c r="V275" s="43"/>
      <c r="W275" s="43"/>
      <c r="X275" s="24"/>
      <c r="Y275" s="24"/>
      <c r="Z275" s="24"/>
    </row>
    <row r="276" ht="14.2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43"/>
      <c r="V276" s="43"/>
      <c r="W276" s="43"/>
      <c r="X276" s="24"/>
      <c r="Y276" s="24"/>
      <c r="Z276" s="24"/>
    </row>
    <row r="277" ht="14.2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43"/>
      <c r="V277" s="43"/>
      <c r="W277" s="43"/>
      <c r="X277" s="24"/>
      <c r="Y277" s="24"/>
      <c r="Z277" s="24"/>
    </row>
    <row r="278" ht="14.2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43"/>
      <c r="V278" s="43"/>
      <c r="W278" s="43"/>
      <c r="X278" s="24"/>
      <c r="Y278" s="24"/>
      <c r="Z278" s="24"/>
    </row>
    <row r="279" ht="14.2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43"/>
      <c r="V279" s="43"/>
      <c r="W279" s="43"/>
      <c r="X279" s="24"/>
      <c r="Y279" s="24"/>
      <c r="Z279" s="24"/>
    </row>
    <row r="280" ht="14.2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43"/>
      <c r="V280" s="43"/>
      <c r="W280" s="43"/>
      <c r="X280" s="24"/>
      <c r="Y280" s="24"/>
      <c r="Z280" s="24"/>
    </row>
    <row r="281" ht="14.2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43"/>
      <c r="V281" s="43"/>
      <c r="W281" s="43"/>
      <c r="X281" s="24"/>
      <c r="Y281" s="24"/>
      <c r="Z281" s="24"/>
    </row>
    <row r="282" ht="14.2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43"/>
      <c r="V282" s="43"/>
      <c r="W282" s="43"/>
      <c r="X282" s="24"/>
      <c r="Y282" s="24"/>
      <c r="Z282" s="24"/>
    </row>
    <row r="283" ht="14.2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43"/>
      <c r="V283" s="43"/>
      <c r="W283" s="43"/>
      <c r="X283" s="24"/>
      <c r="Y283" s="24"/>
      <c r="Z283" s="24"/>
    </row>
    <row r="284" ht="14.2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43"/>
      <c r="V284" s="43"/>
      <c r="W284" s="43"/>
      <c r="X284" s="24"/>
      <c r="Y284" s="24"/>
      <c r="Z284" s="24"/>
    </row>
    <row r="285" ht="14.2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43"/>
      <c r="V285" s="43"/>
      <c r="W285" s="43"/>
      <c r="X285" s="24"/>
      <c r="Y285" s="24"/>
      <c r="Z285" s="24"/>
    </row>
    <row r="286" ht="14.2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43"/>
      <c r="V286" s="43"/>
      <c r="W286" s="43"/>
      <c r="X286" s="24"/>
      <c r="Y286" s="24"/>
      <c r="Z286" s="24"/>
    </row>
    <row r="287" ht="14.2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43"/>
      <c r="V287" s="43"/>
      <c r="W287" s="43"/>
      <c r="X287" s="24"/>
      <c r="Y287" s="24"/>
      <c r="Z287" s="24"/>
    </row>
    <row r="288" ht="14.2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43"/>
      <c r="V288" s="43"/>
      <c r="W288" s="43"/>
      <c r="X288" s="24"/>
      <c r="Y288" s="24"/>
      <c r="Z288" s="24"/>
    </row>
    <row r="289" ht="14.2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43"/>
      <c r="V289" s="43"/>
      <c r="W289" s="43"/>
      <c r="X289" s="24"/>
      <c r="Y289" s="24"/>
      <c r="Z289" s="24"/>
    </row>
    <row r="290" ht="14.2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43"/>
      <c r="V290" s="43"/>
      <c r="W290" s="43"/>
      <c r="X290" s="24"/>
      <c r="Y290" s="24"/>
      <c r="Z290" s="24"/>
    </row>
    <row r="291" ht="14.2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43"/>
      <c r="V291" s="43"/>
      <c r="W291" s="43"/>
      <c r="X291" s="24"/>
      <c r="Y291" s="24"/>
      <c r="Z291" s="24"/>
    </row>
    <row r="292" ht="14.2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43"/>
      <c r="V292" s="43"/>
      <c r="W292" s="43"/>
      <c r="X292" s="24"/>
      <c r="Y292" s="24"/>
      <c r="Z292" s="24"/>
    </row>
    <row r="293" ht="14.2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43"/>
      <c r="V293" s="43"/>
      <c r="W293" s="43"/>
      <c r="X293" s="24"/>
      <c r="Y293" s="24"/>
      <c r="Z293" s="24"/>
    </row>
    <row r="294" ht="14.2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43"/>
      <c r="V294" s="43"/>
      <c r="W294" s="43"/>
      <c r="X294" s="24"/>
      <c r="Y294" s="24"/>
      <c r="Z294" s="24"/>
    </row>
    <row r="295" ht="14.2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43"/>
      <c r="V295" s="43"/>
      <c r="W295" s="43"/>
      <c r="X295" s="24"/>
      <c r="Y295" s="24"/>
      <c r="Z295" s="24"/>
    </row>
    <row r="296" ht="14.2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43"/>
      <c r="V296" s="43"/>
      <c r="W296" s="43"/>
      <c r="X296" s="24"/>
      <c r="Y296" s="24"/>
      <c r="Z296" s="24"/>
    </row>
    <row r="297" ht="14.2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43"/>
      <c r="V297" s="43"/>
      <c r="W297" s="43"/>
      <c r="X297" s="24"/>
      <c r="Y297" s="24"/>
      <c r="Z297" s="24"/>
    </row>
    <row r="298" ht="14.2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43"/>
      <c r="V298" s="43"/>
      <c r="W298" s="43"/>
      <c r="X298" s="24"/>
      <c r="Y298" s="24"/>
      <c r="Z298" s="24"/>
    </row>
    <row r="299" ht="14.2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43"/>
      <c r="V299" s="43"/>
      <c r="W299" s="43"/>
      <c r="X299" s="24"/>
      <c r="Y299" s="24"/>
      <c r="Z299" s="24"/>
    </row>
    <row r="300" ht="14.2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43"/>
      <c r="V300" s="43"/>
      <c r="W300" s="43"/>
      <c r="X300" s="24"/>
      <c r="Y300" s="24"/>
      <c r="Z300" s="24"/>
    </row>
    <row r="301" ht="14.2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43"/>
      <c r="V301" s="43"/>
      <c r="W301" s="43"/>
      <c r="X301" s="24"/>
      <c r="Y301" s="24"/>
      <c r="Z301" s="24"/>
    </row>
    <row r="302" ht="14.2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43"/>
      <c r="V302" s="43"/>
      <c r="W302" s="43"/>
      <c r="X302" s="24"/>
      <c r="Y302" s="24"/>
      <c r="Z302" s="24"/>
    </row>
    <row r="303" ht="14.2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43"/>
      <c r="V303" s="43"/>
      <c r="W303" s="43"/>
      <c r="X303" s="24"/>
      <c r="Y303" s="24"/>
      <c r="Z303" s="24"/>
    </row>
    <row r="304" ht="14.2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43"/>
      <c r="V304" s="43"/>
      <c r="W304" s="43"/>
      <c r="X304" s="24"/>
      <c r="Y304" s="24"/>
      <c r="Z304" s="24"/>
    </row>
    <row r="305" ht="14.2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43"/>
      <c r="V305" s="43"/>
      <c r="W305" s="43"/>
      <c r="X305" s="24"/>
      <c r="Y305" s="24"/>
      <c r="Z305" s="24"/>
    </row>
    <row r="306" ht="14.2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43"/>
      <c r="V306" s="43"/>
      <c r="W306" s="43"/>
      <c r="X306" s="24"/>
      <c r="Y306" s="24"/>
      <c r="Z306" s="24"/>
    </row>
    <row r="307" ht="14.2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43"/>
      <c r="V307" s="43"/>
      <c r="W307" s="43"/>
      <c r="X307" s="24"/>
      <c r="Y307" s="24"/>
      <c r="Z307" s="24"/>
    </row>
    <row r="308" ht="14.2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43"/>
      <c r="V308" s="43"/>
      <c r="W308" s="43"/>
      <c r="X308" s="24"/>
      <c r="Y308" s="24"/>
      <c r="Z308" s="24"/>
    </row>
    <row r="309" ht="14.2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43"/>
      <c r="V309" s="43"/>
      <c r="W309" s="43"/>
      <c r="X309" s="24"/>
      <c r="Y309" s="24"/>
      <c r="Z309" s="24"/>
    </row>
    <row r="310" ht="14.2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43"/>
      <c r="V310" s="43"/>
      <c r="W310" s="43"/>
      <c r="X310" s="24"/>
      <c r="Y310" s="24"/>
      <c r="Z310" s="24"/>
    </row>
    <row r="311" ht="14.2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43"/>
      <c r="V311" s="43"/>
      <c r="W311" s="43"/>
      <c r="X311" s="24"/>
      <c r="Y311" s="24"/>
      <c r="Z311" s="24"/>
    </row>
    <row r="312" ht="14.2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43"/>
      <c r="V312" s="43"/>
      <c r="W312" s="43"/>
      <c r="X312" s="24"/>
      <c r="Y312" s="24"/>
      <c r="Z312" s="24"/>
    </row>
    <row r="313" ht="14.2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43"/>
      <c r="V313" s="43"/>
      <c r="W313" s="43"/>
      <c r="X313" s="24"/>
      <c r="Y313" s="24"/>
      <c r="Z313" s="24"/>
    </row>
    <row r="314" ht="14.2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43"/>
      <c r="V314" s="43"/>
      <c r="W314" s="43"/>
      <c r="X314" s="24"/>
      <c r="Y314" s="24"/>
      <c r="Z314" s="24"/>
    </row>
    <row r="315" ht="14.2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43"/>
      <c r="V315" s="43"/>
      <c r="W315" s="43"/>
      <c r="X315" s="24"/>
      <c r="Y315" s="24"/>
      <c r="Z315" s="24"/>
    </row>
    <row r="316" ht="14.2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43"/>
      <c r="V316" s="43"/>
      <c r="W316" s="43"/>
      <c r="X316" s="24"/>
      <c r="Y316" s="24"/>
      <c r="Z316" s="24"/>
    </row>
    <row r="317" ht="14.2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43"/>
      <c r="V317" s="43"/>
      <c r="W317" s="43"/>
      <c r="X317" s="24"/>
      <c r="Y317" s="24"/>
      <c r="Z317" s="24"/>
    </row>
    <row r="318" ht="14.2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43"/>
      <c r="V318" s="43"/>
      <c r="W318" s="43"/>
      <c r="X318" s="24"/>
      <c r="Y318" s="24"/>
      <c r="Z318" s="24"/>
    </row>
    <row r="319" ht="14.2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43"/>
      <c r="V319" s="43"/>
      <c r="W319" s="43"/>
      <c r="X319" s="24"/>
      <c r="Y319" s="24"/>
      <c r="Z319" s="24"/>
    </row>
    <row r="320" ht="14.2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43"/>
      <c r="V320" s="43"/>
      <c r="W320" s="43"/>
      <c r="X320" s="24"/>
      <c r="Y320" s="24"/>
      <c r="Z320" s="24"/>
    </row>
    <row r="321" ht="14.2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43"/>
      <c r="V321" s="43"/>
      <c r="W321" s="43"/>
      <c r="X321" s="24"/>
      <c r="Y321" s="24"/>
      <c r="Z321" s="24"/>
    </row>
    <row r="322" ht="14.2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43"/>
      <c r="V322" s="43"/>
      <c r="W322" s="43"/>
      <c r="X322" s="24"/>
      <c r="Y322" s="24"/>
      <c r="Z322" s="24"/>
    </row>
    <row r="323" ht="14.2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43"/>
      <c r="V323" s="43"/>
      <c r="W323" s="43"/>
      <c r="X323" s="24"/>
      <c r="Y323" s="24"/>
      <c r="Z323" s="24"/>
    </row>
    <row r="324" ht="14.2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43"/>
      <c r="V324" s="43"/>
      <c r="W324" s="43"/>
      <c r="X324" s="24"/>
      <c r="Y324" s="24"/>
      <c r="Z324" s="24"/>
    </row>
    <row r="325" ht="14.2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43"/>
      <c r="V325" s="43"/>
      <c r="W325" s="43"/>
      <c r="X325" s="24"/>
      <c r="Y325" s="24"/>
      <c r="Z325" s="24"/>
    </row>
    <row r="326" ht="14.2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43"/>
      <c r="V326" s="43"/>
      <c r="W326" s="43"/>
      <c r="X326" s="24"/>
      <c r="Y326" s="24"/>
      <c r="Z326" s="24"/>
    </row>
    <row r="327" ht="14.2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43"/>
      <c r="V327" s="43"/>
      <c r="W327" s="43"/>
      <c r="X327" s="24"/>
      <c r="Y327" s="24"/>
      <c r="Z327" s="24"/>
    </row>
    <row r="328" ht="14.2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43"/>
      <c r="V328" s="43"/>
      <c r="W328" s="43"/>
      <c r="X328" s="24"/>
      <c r="Y328" s="24"/>
      <c r="Z328" s="24"/>
    </row>
    <row r="329" ht="14.2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43"/>
      <c r="V329" s="43"/>
      <c r="W329" s="43"/>
      <c r="X329" s="24"/>
      <c r="Y329" s="24"/>
      <c r="Z329" s="24"/>
    </row>
    <row r="330" ht="14.2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43"/>
      <c r="V330" s="43"/>
      <c r="W330" s="43"/>
      <c r="X330" s="24"/>
      <c r="Y330" s="24"/>
      <c r="Z330" s="24"/>
    </row>
    <row r="331" ht="14.2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43"/>
      <c r="V331" s="43"/>
      <c r="W331" s="43"/>
      <c r="X331" s="24"/>
      <c r="Y331" s="24"/>
      <c r="Z331" s="24"/>
    </row>
    <row r="332" ht="14.2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43"/>
      <c r="V332" s="43"/>
      <c r="W332" s="43"/>
      <c r="X332" s="24"/>
      <c r="Y332" s="24"/>
      <c r="Z332" s="24"/>
    </row>
    <row r="333" ht="14.2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43"/>
      <c r="V333" s="43"/>
      <c r="W333" s="43"/>
      <c r="X333" s="24"/>
      <c r="Y333" s="24"/>
      <c r="Z333" s="24"/>
    </row>
    <row r="334" ht="14.2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43"/>
      <c r="V334" s="43"/>
      <c r="W334" s="43"/>
      <c r="X334" s="24"/>
      <c r="Y334" s="24"/>
      <c r="Z334" s="24"/>
    </row>
    <row r="335" ht="14.2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43"/>
      <c r="V335" s="43"/>
      <c r="W335" s="43"/>
      <c r="X335" s="24"/>
      <c r="Y335" s="24"/>
      <c r="Z335" s="24"/>
    </row>
    <row r="336" ht="14.2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43"/>
      <c r="V336" s="43"/>
      <c r="W336" s="43"/>
      <c r="X336" s="24"/>
      <c r="Y336" s="24"/>
      <c r="Z336" s="24"/>
    </row>
    <row r="337" ht="14.2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43"/>
      <c r="V337" s="43"/>
      <c r="W337" s="43"/>
      <c r="X337" s="24"/>
      <c r="Y337" s="24"/>
      <c r="Z337" s="24"/>
    </row>
    <row r="338" ht="14.2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43"/>
      <c r="V338" s="43"/>
      <c r="W338" s="43"/>
      <c r="X338" s="24"/>
      <c r="Y338" s="24"/>
      <c r="Z338" s="24"/>
    </row>
    <row r="339" ht="14.2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43"/>
      <c r="V339" s="43"/>
      <c r="W339" s="43"/>
      <c r="X339" s="24"/>
      <c r="Y339" s="24"/>
      <c r="Z339" s="24"/>
    </row>
    <row r="340" ht="14.2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43"/>
      <c r="V340" s="43"/>
      <c r="W340" s="43"/>
      <c r="X340" s="24"/>
      <c r="Y340" s="24"/>
      <c r="Z340" s="24"/>
    </row>
    <row r="341" ht="14.2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43"/>
      <c r="V341" s="43"/>
      <c r="W341" s="43"/>
      <c r="X341" s="24"/>
      <c r="Y341" s="24"/>
      <c r="Z341" s="24"/>
    </row>
    <row r="342" ht="14.2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43"/>
      <c r="V342" s="43"/>
      <c r="W342" s="43"/>
      <c r="X342" s="24"/>
      <c r="Y342" s="24"/>
      <c r="Z342" s="24"/>
    </row>
    <row r="343" ht="14.2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43"/>
      <c r="V343" s="43"/>
      <c r="W343" s="43"/>
      <c r="X343" s="24"/>
      <c r="Y343" s="24"/>
      <c r="Z343" s="24"/>
    </row>
    <row r="344" ht="14.2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43"/>
      <c r="V344" s="43"/>
      <c r="W344" s="43"/>
      <c r="X344" s="24"/>
      <c r="Y344" s="24"/>
      <c r="Z344" s="24"/>
    </row>
    <row r="345" ht="14.2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43"/>
      <c r="V345" s="43"/>
      <c r="W345" s="43"/>
      <c r="X345" s="24"/>
      <c r="Y345" s="24"/>
      <c r="Z345" s="24"/>
    </row>
    <row r="346" ht="14.2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43"/>
      <c r="V346" s="43"/>
      <c r="W346" s="43"/>
      <c r="X346" s="24"/>
      <c r="Y346" s="24"/>
      <c r="Z346" s="24"/>
    </row>
    <row r="347" ht="14.2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43"/>
      <c r="V347" s="43"/>
      <c r="W347" s="43"/>
      <c r="X347" s="24"/>
      <c r="Y347" s="24"/>
      <c r="Z347" s="24"/>
    </row>
    <row r="348" ht="14.2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43"/>
      <c r="V348" s="43"/>
      <c r="W348" s="43"/>
      <c r="X348" s="24"/>
      <c r="Y348" s="24"/>
      <c r="Z348" s="24"/>
    </row>
    <row r="349" ht="14.2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43"/>
      <c r="V349" s="43"/>
      <c r="W349" s="43"/>
      <c r="X349" s="24"/>
      <c r="Y349" s="24"/>
      <c r="Z349" s="24"/>
    </row>
    <row r="350" ht="14.2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43"/>
      <c r="V350" s="43"/>
      <c r="W350" s="43"/>
      <c r="X350" s="24"/>
      <c r="Y350" s="24"/>
      <c r="Z350" s="24"/>
    </row>
    <row r="351" ht="14.2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43"/>
      <c r="V351" s="43"/>
      <c r="W351" s="43"/>
      <c r="X351" s="24"/>
      <c r="Y351" s="24"/>
      <c r="Z351" s="24"/>
    </row>
    <row r="352" ht="14.2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43"/>
      <c r="V352" s="43"/>
      <c r="W352" s="43"/>
      <c r="X352" s="24"/>
      <c r="Y352" s="24"/>
      <c r="Z352" s="24"/>
    </row>
    <row r="353" ht="14.2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43"/>
      <c r="V353" s="43"/>
      <c r="W353" s="43"/>
      <c r="X353" s="24"/>
      <c r="Y353" s="24"/>
      <c r="Z353" s="24"/>
    </row>
    <row r="354" ht="14.2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43"/>
      <c r="V354" s="43"/>
      <c r="W354" s="43"/>
      <c r="X354" s="24"/>
      <c r="Y354" s="24"/>
      <c r="Z354" s="24"/>
    </row>
    <row r="355" ht="14.2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43"/>
      <c r="V355" s="43"/>
      <c r="W355" s="43"/>
      <c r="X355" s="24"/>
      <c r="Y355" s="24"/>
      <c r="Z355" s="24"/>
    </row>
    <row r="356" ht="14.2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43"/>
      <c r="V356" s="43"/>
      <c r="W356" s="43"/>
      <c r="X356" s="24"/>
      <c r="Y356" s="24"/>
      <c r="Z356" s="24"/>
    </row>
    <row r="357" ht="14.2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43"/>
      <c r="V357" s="43"/>
      <c r="W357" s="43"/>
      <c r="X357" s="24"/>
      <c r="Y357" s="24"/>
      <c r="Z357" s="24"/>
    </row>
    <row r="358" ht="14.2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43"/>
      <c r="V358" s="43"/>
      <c r="W358" s="43"/>
      <c r="X358" s="24"/>
      <c r="Y358" s="24"/>
      <c r="Z358" s="24"/>
    </row>
    <row r="359" ht="14.2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43"/>
      <c r="V359" s="43"/>
      <c r="W359" s="43"/>
      <c r="X359" s="24"/>
      <c r="Y359" s="24"/>
      <c r="Z359" s="24"/>
    </row>
    <row r="360" ht="14.2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43"/>
      <c r="V360" s="43"/>
      <c r="W360" s="43"/>
      <c r="X360" s="24"/>
      <c r="Y360" s="24"/>
      <c r="Z360" s="24"/>
    </row>
    <row r="361" ht="14.2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43"/>
      <c r="V361" s="43"/>
      <c r="W361" s="43"/>
      <c r="X361" s="24"/>
      <c r="Y361" s="24"/>
      <c r="Z361" s="24"/>
    </row>
    <row r="362" ht="14.2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43"/>
      <c r="V362" s="43"/>
      <c r="W362" s="43"/>
      <c r="X362" s="24"/>
      <c r="Y362" s="24"/>
      <c r="Z362" s="24"/>
    </row>
    <row r="363" ht="14.2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43"/>
      <c r="V363" s="43"/>
      <c r="W363" s="43"/>
      <c r="X363" s="24"/>
      <c r="Y363" s="24"/>
      <c r="Z363" s="24"/>
    </row>
    <row r="364" ht="14.2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43"/>
      <c r="V364" s="43"/>
      <c r="W364" s="43"/>
      <c r="X364" s="24"/>
      <c r="Y364" s="24"/>
      <c r="Z364" s="24"/>
    </row>
    <row r="365" ht="14.2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43"/>
      <c r="V365" s="43"/>
      <c r="W365" s="43"/>
      <c r="X365" s="24"/>
      <c r="Y365" s="24"/>
      <c r="Z365" s="24"/>
    </row>
    <row r="366" ht="14.2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43"/>
      <c r="V366" s="43"/>
      <c r="W366" s="43"/>
      <c r="X366" s="24"/>
      <c r="Y366" s="24"/>
      <c r="Z366" s="24"/>
    </row>
    <row r="367" ht="14.2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43"/>
      <c r="V367" s="43"/>
      <c r="W367" s="43"/>
      <c r="X367" s="24"/>
      <c r="Y367" s="24"/>
      <c r="Z367" s="24"/>
    </row>
    <row r="368" ht="14.2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43"/>
      <c r="V368" s="43"/>
      <c r="W368" s="43"/>
      <c r="X368" s="24"/>
      <c r="Y368" s="24"/>
      <c r="Z368" s="24"/>
    </row>
    <row r="369" ht="14.2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43"/>
      <c r="V369" s="43"/>
      <c r="W369" s="43"/>
      <c r="X369" s="24"/>
      <c r="Y369" s="24"/>
      <c r="Z369" s="24"/>
    </row>
    <row r="370" ht="14.2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43"/>
      <c r="V370" s="43"/>
      <c r="W370" s="43"/>
      <c r="X370" s="24"/>
      <c r="Y370" s="24"/>
      <c r="Z370" s="24"/>
    </row>
    <row r="371" ht="14.2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43"/>
      <c r="V371" s="43"/>
      <c r="W371" s="43"/>
      <c r="X371" s="24"/>
      <c r="Y371" s="24"/>
      <c r="Z371" s="24"/>
    </row>
    <row r="372" ht="14.2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43"/>
      <c r="V372" s="43"/>
      <c r="W372" s="43"/>
      <c r="X372" s="24"/>
      <c r="Y372" s="24"/>
      <c r="Z372" s="24"/>
    </row>
    <row r="373" ht="14.2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43"/>
      <c r="V373" s="43"/>
      <c r="W373" s="43"/>
      <c r="X373" s="24"/>
      <c r="Y373" s="24"/>
      <c r="Z373" s="24"/>
    </row>
    <row r="374" ht="14.2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43"/>
      <c r="V374" s="43"/>
      <c r="W374" s="43"/>
      <c r="X374" s="24"/>
      <c r="Y374" s="24"/>
      <c r="Z374" s="24"/>
    </row>
    <row r="375" ht="14.2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43"/>
      <c r="V375" s="43"/>
      <c r="W375" s="43"/>
      <c r="X375" s="24"/>
      <c r="Y375" s="24"/>
      <c r="Z375" s="24"/>
    </row>
    <row r="376" ht="14.2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43"/>
      <c r="V376" s="43"/>
      <c r="W376" s="43"/>
      <c r="X376" s="24"/>
      <c r="Y376" s="24"/>
      <c r="Z376" s="24"/>
    </row>
    <row r="377" ht="14.2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43"/>
      <c r="V377" s="43"/>
      <c r="W377" s="43"/>
      <c r="X377" s="24"/>
      <c r="Y377" s="24"/>
      <c r="Z377" s="24"/>
    </row>
    <row r="378" ht="14.2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43"/>
      <c r="V378" s="43"/>
      <c r="W378" s="43"/>
      <c r="X378" s="24"/>
      <c r="Y378" s="24"/>
      <c r="Z378" s="24"/>
    </row>
    <row r="379" ht="14.2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43"/>
      <c r="V379" s="43"/>
      <c r="W379" s="43"/>
      <c r="X379" s="24"/>
      <c r="Y379" s="24"/>
      <c r="Z379" s="24"/>
    </row>
    <row r="380" ht="14.2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43"/>
      <c r="V380" s="43"/>
      <c r="W380" s="43"/>
      <c r="X380" s="24"/>
      <c r="Y380" s="24"/>
      <c r="Z380" s="24"/>
    </row>
    <row r="381" ht="14.2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43"/>
      <c r="V381" s="43"/>
      <c r="W381" s="43"/>
      <c r="X381" s="24"/>
      <c r="Y381" s="24"/>
      <c r="Z381" s="24"/>
    </row>
    <row r="382" ht="14.2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43"/>
      <c r="V382" s="43"/>
      <c r="W382" s="43"/>
      <c r="X382" s="24"/>
      <c r="Y382" s="24"/>
      <c r="Z382" s="24"/>
    </row>
    <row r="383" ht="14.2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43"/>
      <c r="V383" s="43"/>
      <c r="W383" s="43"/>
      <c r="X383" s="24"/>
      <c r="Y383" s="24"/>
      <c r="Z383" s="24"/>
    </row>
    <row r="384" ht="14.2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43"/>
      <c r="V384" s="43"/>
      <c r="W384" s="43"/>
      <c r="X384" s="24"/>
      <c r="Y384" s="24"/>
      <c r="Z384" s="24"/>
    </row>
    <row r="385" ht="14.2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43"/>
      <c r="V385" s="43"/>
      <c r="W385" s="43"/>
      <c r="X385" s="24"/>
      <c r="Y385" s="24"/>
      <c r="Z385" s="24"/>
    </row>
    <row r="386" ht="14.2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43"/>
      <c r="V386" s="43"/>
      <c r="W386" s="43"/>
      <c r="X386" s="24"/>
      <c r="Y386" s="24"/>
      <c r="Z386" s="24"/>
    </row>
    <row r="387" ht="14.2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43"/>
      <c r="V387" s="43"/>
      <c r="W387" s="43"/>
      <c r="X387" s="24"/>
      <c r="Y387" s="24"/>
      <c r="Z387" s="24"/>
    </row>
    <row r="388" ht="14.2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43"/>
      <c r="V388" s="43"/>
      <c r="W388" s="43"/>
      <c r="X388" s="24"/>
      <c r="Y388" s="24"/>
      <c r="Z388" s="24"/>
    </row>
    <row r="389" ht="14.2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43"/>
      <c r="V389" s="43"/>
      <c r="W389" s="43"/>
      <c r="X389" s="24"/>
      <c r="Y389" s="24"/>
      <c r="Z389" s="24"/>
    </row>
    <row r="390" ht="14.2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43"/>
      <c r="V390" s="43"/>
      <c r="W390" s="43"/>
      <c r="X390" s="24"/>
      <c r="Y390" s="24"/>
      <c r="Z390" s="24"/>
    </row>
    <row r="391" ht="14.2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43"/>
      <c r="V391" s="43"/>
      <c r="W391" s="43"/>
      <c r="X391" s="24"/>
      <c r="Y391" s="24"/>
      <c r="Z391" s="24"/>
    </row>
    <row r="392" ht="14.2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43"/>
      <c r="V392" s="43"/>
      <c r="W392" s="43"/>
      <c r="X392" s="24"/>
      <c r="Y392" s="24"/>
      <c r="Z392" s="24"/>
    </row>
    <row r="393" ht="14.2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43"/>
      <c r="V393" s="43"/>
      <c r="W393" s="43"/>
      <c r="X393" s="24"/>
      <c r="Y393" s="24"/>
      <c r="Z393" s="24"/>
    </row>
    <row r="394" ht="14.2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43"/>
      <c r="V394" s="43"/>
      <c r="W394" s="43"/>
      <c r="X394" s="24"/>
      <c r="Y394" s="24"/>
      <c r="Z394" s="24"/>
    </row>
    <row r="395" ht="14.2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43"/>
      <c r="V395" s="43"/>
      <c r="W395" s="43"/>
      <c r="X395" s="24"/>
      <c r="Y395" s="24"/>
      <c r="Z395" s="24"/>
    </row>
    <row r="396" ht="14.2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43"/>
      <c r="V396" s="43"/>
      <c r="W396" s="43"/>
      <c r="X396" s="24"/>
      <c r="Y396" s="24"/>
      <c r="Z396" s="24"/>
    </row>
    <row r="397" ht="14.2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43"/>
      <c r="V397" s="43"/>
      <c r="W397" s="43"/>
      <c r="X397" s="24"/>
      <c r="Y397" s="24"/>
      <c r="Z397" s="24"/>
    </row>
    <row r="398" ht="14.2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43"/>
      <c r="V398" s="43"/>
      <c r="W398" s="43"/>
      <c r="X398" s="24"/>
      <c r="Y398" s="24"/>
      <c r="Z398" s="24"/>
    </row>
    <row r="399" ht="14.2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43"/>
      <c r="V399" s="43"/>
      <c r="W399" s="43"/>
      <c r="X399" s="24"/>
      <c r="Y399" s="24"/>
      <c r="Z399" s="24"/>
    </row>
    <row r="400" ht="14.2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43"/>
      <c r="V400" s="43"/>
      <c r="W400" s="43"/>
      <c r="X400" s="24"/>
      <c r="Y400" s="24"/>
      <c r="Z400" s="24"/>
    </row>
    <row r="401" ht="14.2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43"/>
      <c r="V401" s="43"/>
      <c r="W401" s="43"/>
      <c r="X401" s="24"/>
      <c r="Y401" s="24"/>
      <c r="Z401" s="24"/>
    </row>
    <row r="402" ht="14.2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43"/>
      <c r="V402" s="43"/>
      <c r="W402" s="43"/>
      <c r="X402" s="24"/>
      <c r="Y402" s="24"/>
      <c r="Z402" s="24"/>
    </row>
    <row r="403" ht="14.2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43"/>
      <c r="V403" s="43"/>
      <c r="W403" s="43"/>
      <c r="X403" s="24"/>
      <c r="Y403" s="24"/>
      <c r="Z403" s="24"/>
    </row>
    <row r="404" ht="14.2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43"/>
      <c r="V404" s="43"/>
      <c r="W404" s="43"/>
      <c r="X404" s="24"/>
      <c r="Y404" s="24"/>
      <c r="Z404" s="24"/>
    </row>
    <row r="405" ht="14.2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43"/>
      <c r="V405" s="43"/>
      <c r="W405" s="43"/>
      <c r="X405" s="24"/>
      <c r="Y405" s="24"/>
      <c r="Z405" s="24"/>
    </row>
    <row r="406" ht="14.2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43"/>
      <c r="V406" s="43"/>
      <c r="W406" s="43"/>
      <c r="X406" s="24"/>
      <c r="Y406" s="24"/>
      <c r="Z406" s="24"/>
    </row>
    <row r="407" ht="14.2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43"/>
      <c r="V407" s="43"/>
      <c r="W407" s="43"/>
      <c r="X407" s="24"/>
      <c r="Y407" s="24"/>
      <c r="Z407" s="24"/>
    </row>
    <row r="408" ht="14.2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43"/>
      <c r="V408" s="43"/>
      <c r="W408" s="43"/>
      <c r="X408" s="24"/>
      <c r="Y408" s="24"/>
      <c r="Z408" s="24"/>
    </row>
    <row r="409" ht="14.2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43"/>
      <c r="V409" s="43"/>
      <c r="W409" s="43"/>
      <c r="X409" s="24"/>
      <c r="Y409" s="24"/>
      <c r="Z409" s="24"/>
    </row>
    <row r="410" ht="14.2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43"/>
      <c r="V410" s="43"/>
      <c r="W410" s="43"/>
      <c r="X410" s="24"/>
      <c r="Y410" s="24"/>
      <c r="Z410" s="24"/>
    </row>
    <row r="411" ht="14.2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43"/>
      <c r="V411" s="43"/>
      <c r="W411" s="43"/>
      <c r="X411" s="24"/>
      <c r="Y411" s="24"/>
      <c r="Z411" s="24"/>
    </row>
    <row r="412" ht="14.2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43"/>
      <c r="V412" s="43"/>
      <c r="W412" s="43"/>
      <c r="X412" s="24"/>
      <c r="Y412" s="24"/>
      <c r="Z412" s="24"/>
    </row>
    <row r="413" ht="14.2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43"/>
      <c r="V413" s="43"/>
      <c r="W413" s="43"/>
      <c r="X413" s="24"/>
      <c r="Y413" s="24"/>
      <c r="Z413" s="24"/>
    </row>
    <row r="414" ht="14.2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43"/>
      <c r="V414" s="43"/>
      <c r="W414" s="43"/>
      <c r="X414" s="24"/>
      <c r="Y414" s="24"/>
      <c r="Z414" s="24"/>
    </row>
    <row r="415" ht="14.2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43"/>
      <c r="V415" s="43"/>
      <c r="W415" s="43"/>
      <c r="X415" s="24"/>
      <c r="Y415" s="24"/>
      <c r="Z415" s="24"/>
    </row>
    <row r="416" ht="14.2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43"/>
      <c r="V416" s="43"/>
      <c r="W416" s="43"/>
      <c r="X416" s="24"/>
      <c r="Y416" s="24"/>
      <c r="Z416" s="24"/>
    </row>
    <row r="417" ht="14.2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43"/>
      <c r="V417" s="43"/>
      <c r="W417" s="43"/>
      <c r="X417" s="24"/>
      <c r="Y417" s="24"/>
      <c r="Z417" s="24"/>
    </row>
    <row r="418" ht="14.2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43"/>
      <c r="V418" s="43"/>
      <c r="W418" s="43"/>
      <c r="X418" s="24"/>
      <c r="Y418" s="24"/>
      <c r="Z418" s="24"/>
    </row>
    <row r="419" ht="14.2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43"/>
      <c r="V419" s="43"/>
      <c r="W419" s="43"/>
      <c r="X419" s="24"/>
      <c r="Y419" s="24"/>
      <c r="Z419" s="24"/>
    </row>
    <row r="420" ht="14.2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43"/>
      <c r="V420" s="43"/>
      <c r="W420" s="43"/>
      <c r="X420" s="24"/>
      <c r="Y420" s="24"/>
      <c r="Z420" s="24"/>
    </row>
    <row r="421" ht="14.2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43"/>
      <c r="V421" s="43"/>
      <c r="W421" s="43"/>
      <c r="X421" s="24"/>
      <c r="Y421" s="24"/>
      <c r="Z421" s="24"/>
    </row>
    <row r="422" ht="14.2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43"/>
      <c r="V422" s="43"/>
      <c r="W422" s="43"/>
      <c r="X422" s="24"/>
      <c r="Y422" s="24"/>
      <c r="Z422" s="24"/>
    </row>
    <row r="423" ht="14.2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43"/>
      <c r="V423" s="43"/>
      <c r="W423" s="43"/>
      <c r="X423" s="24"/>
      <c r="Y423" s="24"/>
      <c r="Z423" s="24"/>
    </row>
    <row r="424" ht="14.2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43"/>
      <c r="V424" s="43"/>
      <c r="W424" s="43"/>
      <c r="X424" s="24"/>
      <c r="Y424" s="24"/>
      <c r="Z424" s="24"/>
    </row>
    <row r="425" ht="14.2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43"/>
      <c r="V425" s="43"/>
      <c r="W425" s="43"/>
      <c r="X425" s="24"/>
      <c r="Y425" s="24"/>
      <c r="Z425" s="24"/>
    </row>
    <row r="426" ht="14.2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43"/>
      <c r="V426" s="43"/>
      <c r="W426" s="43"/>
      <c r="X426" s="24"/>
      <c r="Y426" s="24"/>
      <c r="Z426" s="24"/>
    </row>
    <row r="427" ht="14.2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43"/>
      <c r="V427" s="43"/>
      <c r="W427" s="43"/>
      <c r="X427" s="24"/>
      <c r="Y427" s="24"/>
      <c r="Z427" s="24"/>
    </row>
    <row r="428" ht="14.2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43"/>
      <c r="V428" s="43"/>
      <c r="W428" s="43"/>
      <c r="X428" s="24"/>
      <c r="Y428" s="24"/>
      <c r="Z428" s="24"/>
    </row>
    <row r="429" ht="14.2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43"/>
      <c r="V429" s="43"/>
      <c r="W429" s="43"/>
      <c r="X429" s="24"/>
      <c r="Y429" s="24"/>
      <c r="Z429" s="24"/>
    </row>
    <row r="430" ht="14.2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43"/>
      <c r="V430" s="43"/>
      <c r="W430" s="43"/>
      <c r="X430" s="24"/>
      <c r="Y430" s="24"/>
      <c r="Z430" s="24"/>
    </row>
    <row r="431" ht="14.2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43"/>
      <c r="V431" s="43"/>
      <c r="W431" s="43"/>
      <c r="X431" s="24"/>
      <c r="Y431" s="24"/>
      <c r="Z431" s="24"/>
    </row>
    <row r="432" ht="14.2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43"/>
      <c r="V432" s="43"/>
      <c r="W432" s="43"/>
      <c r="X432" s="24"/>
      <c r="Y432" s="24"/>
      <c r="Z432" s="24"/>
    </row>
    <row r="433" ht="14.2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43"/>
      <c r="V433" s="43"/>
      <c r="W433" s="43"/>
      <c r="X433" s="24"/>
      <c r="Y433" s="24"/>
      <c r="Z433" s="24"/>
    </row>
    <row r="434" ht="14.2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43"/>
      <c r="V434" s="43"/>
      <c r="W434" s="43"/>
      <c r="X434" s="24"/>
      <c r="Y434" s="24"/>
      <c r="Z434" s="24"/>
    </row>
    <row r="435" ht="14.2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43"/>
      <c r="V435" s="43"/>
      <c r="W435" s="43"/>
      <c r="X435" s="24"/>
      <c r="Y435" s="24"/>
      <c r="Z435" s="24"/>
    </row>
    <row r="436" ht="14.2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43"/>
      <c r="V436" s="43"/>
      <c r="W436" s="43"/>
      <c r="X436" s="24"/>
      <c r="Y436" s="24"/>
      <c r="Z436" s="24"/>
    </row>
    <row r="437" ht="14.2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43"/>
      <c r="V437" s="43"/>
      <c r="W437" s="43"/>
      <c r="X437" s="24"/>
      <c r="Y437" s="24"/>
      <c r="Z437" s="24"/>
    </row>
    <row r="438" ht="14.2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43"/>
      <c r="V438" s="43"/>
      <c r="W438" s="43"/>
      <c r="X438" s="24"/>
      <c r="Y438" s="24"/>
      <c r="Z438" s="24"/>
    </row>
    <row r="439" ht="14.2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43"/>
      <c r="V439" s="43"/>
      <c r="W439" s="43"/>
      <c r="X439" s="24"/>
      <c r="Y439" s="24"/>
      <c r="Z439" s="24"/>
    </row>
    <row r="440" ht="14.2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43"/>
      <c r="V440" s="43"/>
      <c r="W440" s="43"/>
      <c r="X440" s="24"/>
      <c r="Y440" s="24"/>
      <c r="Z440" s="24"/>
    </row>
    <row r="441" ht="14.2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43"/>
      <c r="V441" s="43"/>
      <c r="W441" s="43"/>
      <c r="X441" s="24"/>
      <c r="Y441" s="24"/>
      <c r="Z441" s="24"/>
    </row>
    <row r="442" ht="14.2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43"/>
      <c r="V442" s="43"/>
      <c r="W442" s="43"/>
      <c r="X442" s="24"/>
      <c r="Y442" s="24"/>
      <c r="Z442" s="24"/>
    </row>
    <row r="443" ht="14.2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43"/>
      <c r="V443" s="43"/>
      <c r="W443" s="43"/>
      <c r="X443" s="24"/>
      <c r="Y443" s="24"/>
      <c r="Z443" s="24"/>
    </row>
    <row r="444" ht="14.2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43"/>
      <c r="V444" s="43"/>
      <c r="W444" s="43"/>
      <c r="X444" s="24"/>
      <c r="Y444" s="24"/>
      <c r="Z444" s="24"/>
    </row>
    <row r="445" ht="14.2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43"/>
      <c r="V445" s="43"/>
      <c r="W445" s="43"/>
      <c r="X445" s="24"/>
      <c r="Y445" s="24"/>
      <c r="Z445" s="24"/>
    </row>
    <row r="446" ht="14.2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43"/>
      <c r="V446" s="43"/>
      <c r="W446" s="43"/>
      <c r="X446" s="24"/>
      <c r="Y446" s="24"/>
      <c r="Z446" s="24"/>
    </row>
    <row r="447" ht="14.2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43"/>
      <c r="V447" s="43"/>
      <c r="W447" s="43"/>
      <c r="X447" s="24"/>
      <c r="Y447" s="24"/>
      <c r="Z447" s="24"/>
    </row>
    <row r="448" ht="14.2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43"/>
      <c r="V448" s="43"/>
      <c r="W448" s="43"/>
      <c r="X448" s="24"/>
      <c r="Y448" s="24"/>
      <c r="Z448" s="24"/>
    </row>
    <row r="449" ht="14.2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43"/>
      <c r="V449" s="43"/>
      <c r="W449" s="43"/>
      <c r="X449" s="24"/>
      <c r="Y449" s="24"/>
      <c r="Z449" s="24"/>
    </row>
    <row r="450" ht="14.2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43"/>
      <c r="V450" s="43"/>
      <c r="W450" s="43"/>
      <c r="X450" s="24"/>
      <c r="Y450" s="24"/>
      <c r="Z450" s="24"/>
    </row>
    <row r="451" ht="14.2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43"/>
      <c r="V451" s="43"/>
      <c r="W451" s="43"/>
      <c r="X451" s="24"/>
      <c r="Y451" s="24"/>
      <c r="Z451" s="24"/>
    </row>
    <row r="452" ht="14.2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43"/>
      <c r="V452" s="43"/>
      <c r="W452" s="43"/>
      <c r="X452" s="24"/>
      <c r="Y452" s="24"/>
      <c r="Z452" s="24"/>
    </row>
    <row r="453" ht="14.2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43"/>
      <c r="V453" s="43"/>
      <c r="W453" s="43"/>
      <c r="X453" s="24"/>
      <c r="Y453" s="24"/>
      <c r="Z453" s="24"/>
    </row>
    <row r="454" ht="14.2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43"/>
      <c r="V454" s="43"/>
      <c r="W454" s="43"/>
      <c r="X454" s="24"/>
      <c r="Y454" s="24"/>
      <c r="Z454" s="24"/>
    </row>
    <row r="455" ht="14.2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43"/>
      <c r="V455" s="43"/>
      <c r="W455" s="43"/>
      <c r="X455" s="24"/>
      <c r="Y455" s="24"/>
      <c r="Z455" s="24"/>
    </row>
    <row r="456" ht="14.2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43"/>
      <c r="V456" s="43"/>
      <c r="W456" s="43"/>
      <c r="X456" s="24"/>
      <c r="Y456" s="24"/>
      <c r="Z456" s="24"/>
    </row>
    <row r="457" ht="14.2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43"/>
      <c r="V457" s="43"/>
      <c r="W457" s="43"/>
      <c r="X457" s="24"/>
      <c r="Y457" s="24"/>
      <c r="Z457" s="24"/>
    </row>
    <row r="458" ht="14.2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43"/>
      <c r="V458" s="43"/>
      <c r="W458" s="43"/>
      <c r="X458" s="24"/>
      <c r="Y458" s="24"/>
      <c r="Z458" s="24"/>
    </row>
    <row r="459" ht="14.2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43"/>
      <c r="V459" s="43"/>
      <c r="W459" s="43"/>
      <c r="X459" s="24"/>
      <c r="Y459" s="24"/>
      <c r="Z459" s="24"/>
    </row>
    <row r="460" ht="14.2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43"/>
      <c r="V460" s="43"/>
      <c r="W460" s="43"/>
      <c r="X460" s="24"/>
      <c r="Y460" s="24"/>
      <c r="Z460" s="24"/>
    </row>
    <row r="461" ht="14.2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43"/>
      <c r="V461" s="43"/>
      <c r="W461" s="43"/>
      <c r="X461" s="24"/>
      <c r="Y461" s="24"/>
      <c r="Z461" s="24"/>
    </row>
    <row r="462" ht="14.2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43"/>
      <c r="V462" s="43"/>
      <c r="W462" s="43"/>
      <c r="X462" s="24"/>
      <c r="Y462" s="24"/>
      <c r="Z462" s="24"/>
    </row>
    <row r="463" ht="14.2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43"/>
      <c r="V463" s="43"/>
      <c r="W463" s="43"/>
      <c r="X463" s="24"/>
      <c r="Y463" s="24"/>
      <c r="Z463" s="24"/>
    </row>
    <row r="464" ht="14.2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43"/>
      <c r="V464" s="43"/>
      <c r="W464" s="43"/>
      <c r="X464" s="24"/>
      <c r="Y464" s="24"/>
      <c r="Z464" s="24"/>
    </row>
    <row r="465" ht="14.2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43"/>
      <c r="V465" s="43"/>
      <c r="W465" s="43"/>
      <c r="X465" s="24"/>
      <c r="Y465" s="24"/>
      <c r="Z465" s="24"/>
    </row>
    <row r="466" ht="14.2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43"/>
      <c r="V466" s="43"/>
      <c r="W466" s="43"/>
      <c r="X466" s="24"/>
      <c r="Y466" s="24"/>
      <c r="Z466" s="24"/>
    </row>
    <row r="467" ht="14.2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43"/>
      <c r="V467" s="43"/>
      <c r="W467" s="43"/>
      <c r="X467" s="24"/>
      <c r="Y467" s="24"/>
      <c r="Z467" s="24"/>
    </row>
    <row r="468" ht="14.2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43"/>
      <c r="V468" s="43"/>
      <c r="W468" s="43"/>
      <c r="X468" s="24"/>
      <c r="Y468" s="24"/>
      <c r="Z468" s="24"/>
    </row>
    <row r="469" ht="14.2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43"/>
      <c r="V469" s="43"/>
      <c r="W469" s="43"/>
      <c r="X469" s="24"/>
      <c r="Y469" s="24"/>
      <c r="Z469" s="24"/>
    </row>
    <row r="470" ht="14.2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43"/>
      <c r="V470" s="43"/>
      <c r="W470" s="43"/>
      <c r="X470" s="24"/>
      <c r="Y470" s="24"/>
      <c r="Z470" s="24"/>
    </row>
    <row r="471" ht="14.2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43"/>
      <c r="V471" s="43"/>
      <c r="W471" s="43"/>
      <c r="X471" s="24"/>
      <c r="Y471" s="24"/>
      <c r="Z471" s="24"/>
    </row>
    <row r="472" ht="14.2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43"/>
      <c r="V472" s="43"/>
      <c r="W472" s="43"/>
      <c r="X472" s="24"/>
      <c r="Y472" s="24"/>
      <c r="Z472" s="24"/>
    </row>
    <row r="473" ht="14.2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43"/>
      <c r="V473" s="43"/>
      <c r="W473" s="43"/>
      <c r="X473" s="24"/>
      <c r="Y473" s="24"/>
      <c r="Z473" s="24"/>
    </row>
    <row r="474" ht="14.2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43"/>
      <c r="V474" s="43"/>
      <c r="W474" s="43"/>
      <c r="X474" s="24"/>
      <c r="Y474" s="24"/>
      <c r="Z474" s="24"/>
    </row>
    <row r="475" ht="14.2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43"/>
      <c r="V475" s="43"/>
      <c r="W475" s="43"/>
      <c r="X475" s="24"/>
      <c r="Y475" s="24"/>
      <c r="Z475" s="24"/>
    </row>
    <row r="476" ht="14.2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43"/>
      <c r="V476" s="43"/>
      <c r="W476" s="43"/>
      <c r="X476" s="24"/>
      <c r="Y476" s="24"/>
      <c r="Z476" s="24"/>
    </row>
    <row r="477" ht="14.2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43"/>
      <c r="V477" s="43"/>
      <c r="W477" s="43"/>
      <c r="X477" s="24"/>
      <c r="Y477" s="24"/>
      <c r="Z477" s="24"/>
    </row>
    <row r="478" ht="14.2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43"/>
      <c r="V478" s="43"/>
      <c r="W478" s="43"/>
      <c r="X478" s="24"/>
      <c r="Y478" s="24"/>
      <c r="Z478" s="24"/>
    </row>
    <row r="479" ht="14.2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43"/>
      <c r="V479" s="43"/>
      <c r="W479" s="43"/>
      <c r="X479" s="24"/>
      <c r="Y479" s="24"/>
      <c r="Z479" s="24"/>
    </row>
    <row r="480" ht="14.2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43"/>
      <c r="V480" s="43"/>
      <c r="W480" s="43"/>
      <c r="X480" s="24"/>
      <c r="Y480" s="24"/>
      <c r="Z480" s="24"/>
    </row>
    <row r="481" ht="14.2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43"/>
      <c r="V481" s="43"/>
      <c r="W481" s="43"/>
      <c r="X481" s="24"/>
      <c r="Y481" s="24"/>
      <c r="Z481" s="24"/>
    </row>
    <row r="482" ht="14.2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43"/>
      <c r="V482" s="43"/>
      <c r="W482" s="43"/>
      <c r="X482" s="24"/>
      <c r="Y482" s="24"/>
      <c r="Z482" s="24"/>
    </row>
    <row r="483" ht="14.2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43"/>
      <c r="V483" s="43"/>
      <c r="W483" s="43"/>
      <c r="X483" s="24"/>
      <c r="Y483" s="24"/>
      <c r="Z483" s="24"/>
    </row>
    <row r="484" ht="14.2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43"/>
      <c r="V484" s="43"/>
      <c r="W484" s="43"/>
      <c r="X484" s="24"/>
      <c r="Y484" s="24"/>
      <c r="Z484" s="24"/>
    </row>
    <row r="485" ht="14.2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43"/>
      <c r="V485" s="43"/>
      <c r="W485" s="43"/>
      <c r="X485" s="24"/>
      <c r="Y485" s="24"/>
      <c r="Z485" s="24"/>
    </row>
    <row r="486" ht="14.2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43"/>
      <c r="V486" s="43"/>
      <c r="W486" s="43"/>
      <c r="X486" s="24"/>
      <c r="Y486" s="24"/>
      <c r="Z486" s="24"/>
    </row>
    <row r="487" ht="14.2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43"/>
      <c r="V487" s="43"/>
      <c r="W487" s="43"/>
      <c r="X487" s="24"/>
      <c r="Y487" s="24"/>
      <c r="Z487" s="24"/>
    </row>
    <row r="488" ht="14.2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43"/>
      <c r="V488" s="43"/>
      <c r="W488" s="43"/>
      <c r="X488" s="24"/>
      <c r="Y488" s="24"/>
      <c r="Z488" s="24"/>
    </row>
    <row r="489" ht="14.2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43"/>
      <c r="V489" s="43"/>
      <c r="W489" s="43"/>
      <c r="X489" s="24"/>
      <c r="Y489" s="24"/>
      <c r="Z489" s="24"/>
    </row>
    <row r="490" ht="14.2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43"/>
      <c r="V490" s="43"/>
      <c r="W490" s="43"/>
      <c r="X490" s="24"/>
      <c r="Y490" s="24"/>
      <c r="Z490" s="24"/>
    </row>
    <row r="491" ht="14.2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43"/>
      <c r="V491" s="43"/>
      <c r="W491" s="43"/>
      <c r="X491" s="24"/>
      <c r="Y491" s="24"/>
      <c r="Z491" s="24"/>
    </row>
    <row r="492" ht="14.2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43"/>
      <c r="V492" s="43"/>
      <c r="W492" s="43"/>
      <c r="X492" s="24"/>
      <c r="Y492" s="24"/>
      <c r="Z492" s="24"/>
    </row>
    <row r="493" ht="14.2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43"/>
      <c r="V493" s="43"/>
      <c r="W493" s="43"/>
      <c r="X493" s="24"/>
      <c r="Y493" s="24"/>
      <c r="Z493" s="24"/>
    </row>
    <row r="494" ht="14.2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43"/>
      <c r="V494" s="43"/>
      <c r="W494" s="43"/>
      <c r="X494" s="24"/>
      <c r="Y494" s="24"/>
      <c r="Z494" s="24"/>
    </row>
    <row r="495" ht="14.2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43"/>
      <c r="V495" s="43"/>
      <c r="W495" s="43"/>
      <c r="X495" s="24"/>
      <c r="Y495" s="24"/>
      <c r="Z495" s="24"/>
    </row>
    <row r="496" ht="14.2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43"/>
      <c r="V496" s="43"/>
      <c r="W496" s="43"/>
      <c r="X496" s="24"/>
      <c r="Y496" s="24"/>
      <c r="Z496" s="24"/>
    </row>
    <row r="497" ht="14.2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43"/>
      <c r="V497" s="43"/>
      <c r="W497" s="43"/>
      <c r="X497" s="24"/>
      <c r="Y497" s="24"/>
      <c r="Z497" s="24"/>
    </row>
    <row r="498" ht="14.2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43"/>
      <c r="V498" s="43"/>
      <c r="W498" s="43"/>
      <c r="X498" s="24"/>
      <c r="Y498" s="24"/>
      <c r="Z498" s="24"/>
    </row>
    <row r="499" ht="14.2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43"/>
      <c r="V499" s="43"/>
      <c r="W499" s="43"/>
      <c r="X499" s="24"/>
      <c r="Y499" s="24"/>
      <c r="Z499" s="24"/>
    </row>
    <row r="500" ht="14.2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43"/>
      <c r="V500" s="43"/>
      <c r="W500" s="43"/>
      <c r="X500" s="24"/>
      <c r="Y500" s="24"/>
      <c r="Z500" s="24"/>
    </row>
    <row r="501" ht="14.2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43"/>
      <c r="V501" s="43"/>
      <c r="W501" s="43"/>
      <c r="X501" s="24"/>
      <c r="Y501" s="24"/>
      <c r="Z501" s="24"/>
    </row>
    <row r="502" ht="14.2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43"/>
      <c r="V502" s="43"/>
      <c r="W502" s="43"/>
      <c r="X502" s="24"/>
      <c r="Y502" s="24"/>
      <c r="Z502" s="24"/>
    </row>
    <row r="503" ht="14.2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43"/>
      <c r="V503" s="43"/>
      <c r="W503" s="43"/>
      <c r="X503" s="24"/>
      <c r="Y503" s="24"/>
      <c r="Z503" s="24"/>
    </row>
    <row r="504" ht="14.2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43"/>
      <c r="V504" s="43"/>
      <c r="W504" s="43"/>
      <c r="X504" s="24"/>
      <c r="Y504" s="24"/>
      <c r="Z504" s="24"/>
    </row>
    <row r="505" ht="14.2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43"/>
      <c r="V505" s="43"/>
      <c r="W505" s="43"/>
      <c r="X505" s="24"/>
      <c r="Y505" s="24"/>
      <c r="Z505" s="24"/>
    </row>
    <row r="506" ht="14.2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43"/>
      <c r="V506" s="43"/>
      <c r="W506" s="43"/>
      <c r="X506" s="24"/>
      <c r="Y506" s="24"/>
      <c r="Z506" s="24"/>
    </row>
    <row r="507" ht="14.2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43"/>
      <c r="V507" s="43"/>
      <c r="W507" s="43"/>
      <c r="X507" s="24"/>
      <c r="Y507" s="24"/>
      <c r="Z507" s="24"/>
    </row>
    <row r="508" ht="14.2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43"/>
      <c r="V508" s="43"/>
      <c r="W508" s="43"/>
      <c r="X508" s="24"/>
      <c r="Y508" s="24"/>
      <c r="Z508" s="24"/>
    </row>
    <row r="509" ht="14.2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43"/>
      <c r="V509" s="43"/>
      <c r="W509" s="43"/>
      <c r="X509" s="24"/>
      <c r="Y509" s="24"/>
      <c r="Z509" s="24"/>
    </row>
    <row r="510" ht="14.2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43"/>
      <c r="V510" s="43"/>
      <c r="W510" s="43"/>
      <c r="X510" s="24"/>
      <c r="Y510" s="24"/>
      <c r="Z510" s="24"/>
    </row>
    <row r="511" ht="14.2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43"/>
      <c r="V511" s="43"/>
      <c r="W511" s="43"/>
      <c r="X511" s="24"/>
      <c r="Y511" s="24"/>
      <c r="Z511" s="24"/>
    </row>
    <row r="512" ht="14.2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43"/>
      <c r="V512" s="43"/>
      <c r="W512" s="43"/>
      <c r="X512" s="24"/>
      <c r="Y512" s="24"/>
      <c r="Z512" s="24"/>
    </row>
    <row r="513" ht="14.2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43"/>
      <c r="V513" s="43"/>
      <c r="W513" s="43"/>
      <c r="X513" s="24"/>
      <c r="Y513" s="24"/>
      <c r="Z513" s="24"/>
    </row>
    <row r="514" ht="14.2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43"/>
      <c r="V514" s="43"/>
      <c r="W514" s="43"/>
      <c r="X514" s="24"/>
      <c r="Y514" s="24"/>
      <c r="Z514" s="24"/>
    </row>
    <row r="515" ht="14.2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43"/>
      <c r="V515" s="43"/>
      <c r="W515" s="43"/>
      <c r="X515" s="24"/>
      <c r="Y515" s="24"/>
      <c r="Z515" s="24"/>
    </row>
    <row r="516" ht="14.2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43"/>
      <c r="V516" s="43"/>
      <c r="W516" s="43"/>
      <c r="X516" s="24"/>
      <c r="Y516" s="24"/>
      <c r="Z516" s="24"/>
    </row>
    <row r="517" ht="14.2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43"/>
      <c r="V517" s="43"/>
      <c r="W517" s="43"/>
      <c r="X517" s="24"/>
      <c r="Y517" s="24"/>
      <c r="Z517" s="24"/>
    </row>
    <row r="518" ht="14.2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43"/>
      <c r="V518" s="43"/>
      <c r="W518" s="43"/>
      <c r="X518" s="24"/>
      <c r="Y518" s="24"/>
      <c r="Z518" s="24"/>
    </row>
    <row r="519" ht="14.2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43"/>
      <c r="V519" s="43"/>
      <c r="W519" s="43"/>
      <c r="X519" s="24"/>
      <c r="Y519" s="24"/>
      <c r="Z519" s="24"/>
    </row>
    <row r="520" ht="14.2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43"/>
      <c r="V520" s="43"/>
      <c r="W520" s="43"/>
      <c r="X520" s="24"/>
      <c r="Y520" s="24"/>
      <c r="Z520" s="24"/>
    </row>
    <row r="521" ht="14.2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43"/>
      <c r="V521" s="43"/>
      <c r="W521" s="43"/>
      <c r="X521" s="24"/>
      <c r="Y521" s="24"/>
      <c r="Z521" s="24"/>
    </row>
    <row r="522" ht="14.2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43"/>
      <c r="V522" s="43"/>
      <c r="W522" s="43"/>
      <c r="X522" s="24"/>
      <c r="Y522" s="24"/>
      <c r="Z522" s="24"/>
    </row>
    <row r="523" ht="14.2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43"/>
      <c r="V523" s="43"/>
      <c r="W523" s="43"/>
      <c r="X523" s="24"/>
      <c r="Y523" s="24"/>
      <c r="Z523" s="24"/>
    </row>
    <row r="524" ht="14.2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43"/>
      <c r="V524" s="43"/>
      <c r="W524" s="43"/>
      <c r="X524" s="24"/>
      <c r="Y524" s="24"/>
      <c r="Z524" s="24"/>
    </row>
    <row r="525" ht="14.2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43"/>
      <c r="V525" s="43"/>
      <c r="W525" s="43"/>
      <c r="X525" s="24"/>
      <c r="Y525" s="24"/>
      <c r="Z525" s="24"/>
    </row>
    <row r="526" ht="14.2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43"/>
      <c r="V526" s="43"/>
      <c r="W526" s="43"/>
      <c r="X526" s="24"/>
      <c r="Y526" s="24"/>
      <c r="Z526" s="24"/>
    </row>
    <row r="527" ht="14.2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43"/>
      <c r="V527" s="43"/>
      <c r="W527" s="43"/>
      <c r="X527" s="24"/>
      <c r="Y527" s="24"/>
      <c r="Z527" s="24"/>
    </row>
    <row r="528" ht="14.2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43"/>
      <c r="V528" s="43"/>
      <c r="W528" s="43"/>
      <c r="X528" s="24"/>
      <c r="Y528" s="24"/>
      <c r="Z528" s="24"/>
    </row>
    <row r="529" ht="14.2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43"/>
      <c r="V529" s="43"/>
      <c r="W529" s="43"/>
      <c r="X529" s="24"/>
      <c r="Y529" s="24"/>
      <c r="Z529" s="24"/>
    </row>
    <row r="530" ht="14.2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43"/>
      <c r="V530" s="43"/>
      <c r="W530" s="43"/>
      <c r="X530" s="24"/>
      <c r="Y530" s="24"/>
      <c r="Z530" s="24"/>
    </row>
    <row r="531" ht="14.2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43"/>
      <c r="V531" s="43"/>
      <c r="W531" s="43"/>
      <c r="X531" s="24"/>
      <c r="Y531" s="24"/>
      <c r="Z531" s="24"/>
    </row>
    <row r="532" ht="14.2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43"/>
      <c r="V532" s="43"/>
      <c r="W532" s="43"/>
      <c r="X532" s="24"/>
      <c r="Y532" s="24"/>
      <c r="Z532" s="24"/>
    </row>
    <row r="533" ht="14.2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43"/>
      <c r="V533" s="43"/>
      <c r="W533" s="43"/>
      <c r="X533" s="24"/>
      <c r="Y533" s="24"/>
      <c r="Z533" s="24"/>
    </row>
    <row r="534" ht="14.2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43"/>
      <c r="V534" s="43"/>
      <c r="W534" s="43"/>
      <c r="X534" s="24"/>
      <c r="Y534" s="24"/>
      <c r="Z534" s="24"/>
    </row>
    <row r="535" ht="14.2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43"/>
      <c r="V535" s="43"/>
      <c r="W535" s="43"/>
      <c r="X535" s="24"/>
      <c r="Y535" s="24"/>
      <c r="Z535" s="24"/>
    </row>
    <row r="536" ht="14.2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43"/>
      <c r="V536" s="43"/>
      <c r="W536" s="43"/>
      <c r="X536" s="24"/>
      <c r="Y536" s="24"/>
      <c r="Z536" s="24"/>
    </row>
    <row r="537" ht="14.2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43"/>
      <c r="V537" s="43"/>
      <c r="W537" s="43"/>
      <c r="X537" s="24"/>
      <c r="Y537" s="24"/>
      <c r="Z537" s="24"/>
    </row>
    <row r="538" ht="14.2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43"/>
      <c r="V538" s="43"/>
      <c r="W538" s="43"/>
      <c r="X538" s="24"/>
      <c r="Y538" s="24"/>
      <c r="Z538" s="24"/>
    </row>
    <row r="539" ht="14.2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43"/>
      <c r="V539" s="43"/>
      <c r="W539" s="43"/>
      <c r="X539" s="24"/>
      <c r="Y539" s="24"/>
      <c r="Z539" s="24"/>
    </row>
    <row r="540" ht="14.2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43"/>
      <c r="V540" s="43"/>
      <c r="W540" s="43"/>
      <c r="X540" s="24"/>
      <c r="Y540" s="24"/>
      <c r="Z540" s="24"/>
    </row>
    <row r="541" ht="14.2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43"/>
      <c r="V541" s="43"/>
      <c r="W541" s="43"/>
      <c r="X541" s="24"/>
      <c r="Y541" s="24"/>
      <c r="Z541" s="24"/>
    </row>
    <row r="542" ht="14.2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43"/>
      <c r="V542" s="43"/>
      <c r="W542" s="43"/>
      <c r="X542" s="24"/>
      <c r="Y542" s="24"/>
      <c r="Z542" s="24"/>
    </row>
    <row r="543" ht="14.2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43"/>
      <c r="V543" s="43"/>
      <c r="W543" s="43"/>
      <c r="X543" s="24"/>
      <c r="Y543" s="24"/>
      <c r="Z543" s="24"/>
    </row>
    <row r="544" ht="14.2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43"/>
      <c r="V544" s="43"/>
      <c r="W544" s="43"/>
      <c r="X544" s="24"/>
      <c r="Y544" s="24"/>
      <c r="Z544" s="24"/>
    </row>
    <row r="545" ht="14.2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43"/>
      <c r="V545" s="43"/>
      <c r="W545" s="43"/>
      <c r="X545" s="24"/>
      <c r="Y545" s="24"/>
      <c r="Z545" s="24"/>
    </row>
    <row r="546" ht="14.2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43"/>
      <c r="V546" s="43"/>
      <c r="W546" s="43"/>
      <c r="X546" s="24"/>
      <c r="Y546" s="24"/>
      <c r="Z546" s="24"/>
    </row>
    <row r="547" ht="14.2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43"/>
      <c r="V547" s="43"/>
      <c r="W547" s="43"/>
      <c r="X547" s="24"/>
      <c r="Y547" s="24"/>
      <c r="Z547" s="24"/>
    </row>
    <row r="548" ht="14.2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43"/>
      <c r="V548" s="43"/>
      <c r="W548" s="43"/>
      <c r="X548" s="24"/>
      <c r="Y548" s="24"/>
      <c r="Z548" s="24"/>
    </row>
    <row r="549" ht="14.2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43"/>
      <c r="V549" s="43"/>
      <c r="W549" s="43"/>
      <c r="X549" s="24"/>
      <c r="Y549" s="24"/>
      <c r="Z549" s="24"/>
    </row>
    <row r="550" ht="14.2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43"/>
      <c r="V550" s="43"/>
      <c r="W550" s="43"/>
      <c r="X550" s="24"/>
      <c r="Y550" s="24"/>
      <c r="Z550" s="24"/>
    </row>
    <row r="551" ht="14.2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43"/>
      <c r="V551" s="43"/>
      <c r="W551" s="43"/>
      <c r="X551" s="24"/>
      <c r="Y551" s="24"/>
      <c r="Z551" s="24"/>
    </row>
    <row r="552" ht="14.2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43"/>
      <c r="V552" s="43"/>
      <c r="W552" s="43"/>
      <c r="X552" s="24"/>
      <c r="Y552" s="24"/>
      <c r="Z552" s="24"/>
    </row>
    <row r="553" ht="14.2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43"/>
      <c r="V553" s="43"/>
      <c r="W553" s="43"/>
      <c r="X553" s="24"/>
      <c r="Y553" s="24"/>
      <c r="Z553" s="24"/>
    </row>
    <row r="554" ht="14.2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43"/>
      <c r="V554" s="43"/>
      <c r="W554" s="43"/>
      <c r="X554" s="24"/>
      <c r="Y554" s="24"/>
      <c r="Z554" s="24"/>
    </row>
    <row r="555" ht="14.2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43"/>
      <c r="V555" s="43"/>
      <c r="W555" s="43"/>
      <c r="X555" s="24"/>
      <c r="Y555" s="24"/>
      <c r="Z555" s="24"/>
    </row>
    <row r="556" ht="14.2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43"/>
      <c r="V556" s="43"/>
      <c r="W556" s="43"/>
      <c r="X556" s="24"/>
      <c r="Y556" s="24"/>
      <c r="Z556" s="24"/>
    </row>
    <row r="557" ht="14.2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43"/>
      <c r="V557" s="43"/>
      <c r="W557" s="43"/>
      <c r="X557" s="24"/>
      <c r="Y557" s="24"/>
      <c r="Z557" s="24"/>
    </row>
    <row r="558" ht="14.2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43"/>
      <c r="V558" s="43"/>
      <c r="W558" s="43"/>
      <c r="X558" s="24"/>
      <c r="Y558" s="24"/>
      <c r="Z558" s="24"/>
    </row>
    <row r="559" ht="14.2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43"/>
      <c r="V559" s="43"/>
      <c r="W559" s="43"/>
      <c r="X559" s="24"/>
      <c r="Y559" s="24"/>
      <c r="Z559" s="24"/>
    </row>
    <row r="560" ht="14.2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43"/>
      <c r="V560" s="43"/>
      <c r="W560" s="43"/>
      <c r="X560" s="24"/>
      <c r="Y560" s="24"/>
      <c r="Z560" s="24"/>
    </row>
    <row r="561" ht="14.2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43"/>
      <c r="V561" s="43"/>
      <c r="W561" s="43"/>
      <c r="X561" s="24"/>
      <c r="Y561" s="24"/>
      <c r="Z561" s="24"/>
    </row>
    <row r="562" ht="14.2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43"/>
      <c r="V562" s="43"/>
      <c r="W562" s="43"/>
      <c r="X562" s="24"/>
      <c r="Y562" s="24"/>
      <c r="Z562" s="24"/>
    </row>
    <row r="563" ht="14.2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43"/>
      <c r="V563" s="43"/>
      <c r="W563" s="43"/>
      <c r="X563" s="24"/>
      <c r="Y563" s="24"/>
      <c r="Z563" s="24"/>
    </row>
    <row r="564" ht="14.2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43"/>
      <c r="V564" s="43"/>
      <c r="W564" s="43"/>
      <c r="X564" s="24"/>
      <c r="Y564" s="24"/>
      <c r="Z564" s="24"/>
    </row>
    <row r="565" ht="14.2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43"/>
      <c r="V565" s="43"/>
      <c r="W565" s="43"/>
      <c r="X565" s="24"/>
      <c r="Y565" s="24"/>
      <c r="Z565" s="24"/>
    </row>
    <row r="566" ht="14.2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43"/>
      <c r="V566" s="43"/>
      <c r="W566" s="43"/>
      <c r="X566" s="24"/>
      <c r="Y566" s="24"/>
      <c r="Z566" s="24"/>
    </row>
    <row r="567" ht="14.2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43"/>
      <c r="V567" s="43"/>
      <c r="W567" s="43"/>
      <c r="X567" s="24"/>
      <c r="Y567" s="24"/>
      <c r="Z567" s="24"/>
    </row>
    <row r="568" ht="14.2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43"/>
      <c r="V568" s="43"/>
      <c r="W568" s="43"/>
      <c r="X568" s="24"/>
      <c r="Y568" s="24"/>
      <c r="Z568" s="24"/>
    </row>
    <row r="569" ht="14.2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43"/>
      <c r="V569" s="43"/>
      <c r="W569" s="43"/>
      <c r="X569" s="24"/>
      <c r="Y569" s="24"/>
      <c r="Z569" s="24"/>
    </row>
    <row r="570" ht="14.2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43"/>
      <c r="V570" s="43"/>
      <c r="W570" s="43"/>
      <c r="X570" s="24"/>
      <c r="Y570" s="24"/>
      <c r="Z570" s="24"/>
    </row>
    <row r="571" ht="14.2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43"/>
      <c r="V571" s="43"/>
      <c r="W571" s="43"/>
      <c r="X571" s="24"/>
      <c r="Y571" s="24"/>
      <c r="Z571" s="24"/>
    </row>
    <row r="572" ht="14.2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43"/>
      <c r="V572" s="43"/>
      <c r="W572" s="43"/>
      <c r="X572" s="24"/>
      <c r="Y572" s="24"/>
      <c r="Z572" s="24"/>
    </row>
    <row r="573" ht="14.2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43"/>
      <c r="V573" s="43"/>
      <c r="W573" s="43"/>
      <c r="X573" s="24"/>
      <c r="Y573" s="24"/>
      <c r="Z573" s="24"/>
    </row>
    <row r="574" ht="14.2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43"/>
      <c r="V574" s="43"/>
      <c r="W574" s="43"/>
      <c r="X574" s="24"/>
      <c r="Y574" s="24"/>
      <c r="Z574" s="24"/>
    </row>
    <row r="575" ht="14.2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43"/>
      <c r="V575" s="43"/>
      <c r="W575" s="43"/>
      <c r="X575" s="24"/>
      <c r="Y575" s="24"/>
      <c r="Z575" s="24"/>
    </row>
    <row r="576" ht="14.2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43"/>
      <c r="V576" s="43"/>
      <c r="W576" s="43"/>
      <c r="X576" s="24"/>
      <c r="Y576" s="24"/>
      <c r="Z576" s="24"/>
    </row>
    <row r="577" ht="14.2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43"/>
      <c r="V577" s="43"/>
      <c r="W577" s="43"/>
      <c r="X577" s="24"/>
      <c r="Y577" s="24"/>
      <c r="Z577" s="24"/>
    </row>
    <row r="578" ht="14.2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43"/>
      <c r="V578" s="43"/>
      <c r="W578" s="43"/>
      <c r="X578" s="24"/>
      <c r="Y578" s="24"/>
      <c r="Z578" s="24"/>
    </row>
    <row r="579" ht="14.2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43"/>
      <c r="V579" s="43"/>
      <c r="W579" s="43"/>
      <c r="X579" s="24"/>
      <c r="Y579" s="24"/>
      <c r="Z579" s="24"/>
    </row>
    <row r="580" ht="14.2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43"/>
      <c r="V580" s="43"/>
      <c r="W580" s="43"/>
      <c r="X580" s="24"/>
      <c r="Y580" s="24"/>
      <c r="Z580" s="24"/>
    </row>
    <row r="581" ht="14.2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43"/>
      <c r="V581" s="43"/>
      <c r="W581" s="43"/>
      <c r="X581" s="24"/>
      <c r="Y581" s="24"/>
      <c r="Z581" s="24"/>
    </row>
    <row r="582" ht="14.2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43"/>
      <c r="V582" s="43"/>
      <c r="W582" s="43"/>
      <c r="X582" s="24"/>
      <c r="Y582" s="24"/>
      <c r="Z582" s="24"/>
    </row>
    <row r="583" ht="14.2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43"/>
      <c r="V583" s="43"/>
      <c r="W583" s="43"/>
      <c r="X583" s="24"/>
      <c r="Y583" s="24"/>
      <c r="Z583" s="24"/>
    </row>
    <row r="584" ht="14.2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43"/>
      <c r="V584" s="43"/>
      <c r="W584" s="43"/>
      <c r="X584" s="24"/>
      <c r="Y584" s="24"/>
      <c r="Z584" s="24"/>
    </row>
    <row r="585" ht="14.2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43"/>
      <c r="V585" s="43"/>
      <c r="W585" s="43"/>
      <c r="X585" s="24"/>
      <c r="Y585" s="24"/>
      <c r="Z585" s="24"/>
    </row>
    <row r="586" ht="14.2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43"/>
      <c r="V586" s="43"/>
      <c r="W586" s="43"/>
      <c r="X586" s="24"/>
      <c r="Y586" s="24"/>
      <c r="Z586" s="24"/>
    </row>
    <row r="587" ht="14.2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43"/>
      <c r="V587" s="43"/>
      <c r="W587" s="43"/>
      <c r="X587" s="24"/>
      <c r="Y587" s="24"/>
      <c r="Z587" s="24"/>
    </row>
    <row r="588" ht="14.2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43"/>
      <c r="V588" s="43"/>
      <c r="W588" s="43"/>
      <c r="X588" s="24"/>
      <c r="Y588" s="24"/>
      <c r="Z588" s="24"/>
    </row>
    <row r="589" ht="14.2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43"/>
      <c r="V589" s="43"/>
      <c r="W589" s="43"/>
      <c r="X589" s="24"/>
      <c r="Y589" s="24"/>
      <c r="Z589" s="24"/>
    </row>
    <row r="590" ht="14.2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43"/>
      <c r="V590" s="43"/>
      <c r="W590" s="43"/>
      <c r="X590" s="24"/>
      <c r="Y590" s="24"/>
      <c r="Z590" s="24"/>
    </row>
    <row r="591" ht="14.2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43"/>
      <c r="V591" s="43"/>
      <c r="W591" s="43"/>
      <c r="X591" s="24"/>
      <c r="Y591" s="24"/>
      <c r="Z591" s="24"/>
    </row>
    <row r="592" ht="14.2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43"/>
      <c r="V592" s="43"/>
      <c r="W592" s="43"/>
      <c r="X592" s="24"/>
      <c r="Y592" s="24"/>
      <c r="Z592" s="24"/>
    </row>
    <row r="593" ht="14.2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43"/>
      <c r="V593" s="43"/>
      <c r="W593" s="43"/>
      <c r="X593" s="24"/>
      <c r="Y593" s="24"/>
      <c r="Z593" s="24"/>
    </row>
    <row r="594" ht="14.2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43"/>
      <c r="V594" s="43"/>
      <c r="W594" s="43"/>
      <c r="X594" s="24"/>
      <c r="Y594" s="24"/>
      <c r="Z594" s="24"/>
    </row>
    <row r="595" ht="14.2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43"/>
      <c r="V595" s="43"/>
      <c r="W595" s="43"/>
      <c r="X595" s="24"/>
      <c r="Y595" s="24"/>
      <c r="Z595" s="24"/>
    </row>
    <row r="596" ht="14.2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43"/>
      <c r="V596" s="43"/>
      <c r="W596" s="43"/>
      <c r="X596" s="24"/>
      <c r="Y596" s="24"/>
      <c r="Z596" s="24"/>
    </row>
    <row r="597" ht="14.2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43"/>
      <c r="V597" s="43"/>
      <c r="W597" s="43"/>
      <c r="X597" s="24"/>
      <c r="Y597" s="24"/>
      <c r="Z597" s="24"/>
    </row>
    <row r="598" ht="14.2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43"/>
      <c r="V598" s="43"/>
      <c r="W598" s="43"/>
      <c r="X598" s="24"/>
      <c r="Y598" s="24"/>
      <c r="Z598" s="24"/>
    </row>
    <row r="599" ht="14.2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43"/>
      <c r="V599" s="43"/>
      <c r="W599" s="43"/>
      <c r="X599" s="24"/>
      <c r="Y599" s="24"/>
      <c r="Z599" s="24"/>
    </row>
    <row r="600" ht="14.2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43"/>
      <c r="V600" s="43"/>
      <c r="W600" s="43"/>
      <c r="X600" s="24"/>
      <c r="Y600" s="24"/>
      <c r="Z600" s="24"/>
    </row>
    <row r="601" ht="14.2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43"/>
      <c r="V601" s="43"/>
      <c r="W601" s="43"/>
      <c r="X601" s="24"/>
      <c r="Y601" s="24"/>
      <c r="Z601" s="24"/>
    </row>
    <row r="602" ht="14.2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43"/>
      <c r="V602" s="43"/>
      <c r="W602" s="43"/>
      <c r="X602" s="24"/>
      <c r="Y602" s="24"/>
      <c r="Z602" s="24"/>
    </row>
    <row r="603" ht="14.2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43"/>
      <c r="V603" s="43"/>
      <c r="W603" s="43"/>
      <c r="X603" s="24"/>
      <c r="Y603" s="24"/>
      <c r="Z603" s="24"/>
    </row>
    <row r="604" ht="14.2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43"/>
      <c r="V604" s="43"/>
      <c r="W604" s="43"/>
      <c r="X604" s="24"/>
      <c r="Y604" s="24"/>
      <c r="Z604" s="24"/>
    </row>
    <row r="605" ht="14.2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43"/>
      <c r="V605" s="43"/>
      <c r="W605" s="43"/>
      <c r="X605" s="24"/>
      <c r="Y605" s="24"/>
      <c r="Z605" s="24"/>
    </row>
    <row r="606" ht="14.2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43"/>
      <c r="V606" s="43"/>
      <c r="W606" s="43"/>
      <c r="X606" s="24"/>
      <c r="Y606" s="24"/>
      <c r="Z606" s="24"/>
    </row>
    <row r="607" ht="14.2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43"/>
      <c r="V607" s="43"/>
      <c r="W607" s="43"/>
      <c r="X607" s="24"/>
      <c r="Y607" s="24"/>
      <c r="Z607" s="24"/>
    </row>
    <row r="608" ht="14.2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43"/>
      <c r="V608" s="43"/>
      <c r="W608" s="43"/>
      <c r="X608" s="24"/>
      <c r="Y608" s="24"/>
      <c r="Z608" s="24"/>
    </row>
    <row r="609" ht="14.2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43"/>
      <c r="V609" s="43"/>
      <c r="W609" s="43"/>
      <c r="X609" s="24"/>
      <c r="Y609" s="24"/>
      <c r="Z609" s="24"/>
    </row>
    <row r="610" ht="14.2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43"/>
      <c r="V610" s="43"/>
      <c r="W610" s="43"/>
      <c r="X610" s="24"/>
      <c r="Y610" s="24"/>
      <c r="Z610" s="24"/>
    </row>
    <row r="611" ht="14.2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43"/>
      <c r="V611" s="43"/>
      <c r="W611" s="43"/>
      <c r="X611" s="24"/>
      <c r="Y611" s="24"/>
      <c r="Z611" s="24"/>
    </row>
    <row r="612" ht="14.2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43"/>
      <c r="V612" s="43"/>
      <c r="W612" s="43"/>
      <c r="X612" s="24"/>
      <c r="Y612" s="24"/>
      <c r="Z612" s="24"/>
    </row>
    <row r="613" ht="14.2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43"/>
      <c r="V613" s="43"/>
      <c r="W613" s="43"/>
      <c r="X613" s="24"/>
      <c r="Y613" s="24"/>
      <c r="Z613" s="24"/>
    </row>
    <row r="614" ht="14.2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43"/>
      <c r="V614" s="43"/>
      <c r="W614" s="43"/>
      <c r="X614" s="24"/>
      <c r="Y614" s="24"/>
      <c r="Z614" s="24"/>
    </row>
    <row r="615" ht="14.2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43"/>
      <c r="V615" s="43"/>
      <c r="W615" s="43"/>
      <c r="X615" s="24"/>
      <c r="Y615" s="24"/>
      <c r="Z615" s="24"/>
    </row>
    <row r="616" ht="14.2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43"/>
      <c r="V616" s="43"/>
      <c r="W616" s="43"/>
      <c r="X616" s="24"/>
      <c r="Y616" s="24"/>
      <c r="Z616" s="24"/>
    </row>
    <row r="617" ht="14.2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43"/>
      <c r="V617" s="43"/>
      <c r="W617" s="43"/>
      <c r="X617" s="24"/>
      <c r="Y617" s="24"/>
      <c r="Z617" s="24"/>
    </row>
    <row r="618" ht="14.2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43"/>
      <c r="V618" s="43"/>
      <c r="W618" s="43"/>
      <c r="X618" s="24"/>
      <c r="Y618" s="24"/>
      <c r="Z618" s="24"/>
    </row>
    <row r="619" ht="14.2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43"/>
      <c r="V619" s="43"/>
      <c r="W619" s="43"/>
      <c r="X619" s="24"/>
      <c r="Y619" s="24"/>
      <c r="Z619" s="24"/>
    </row>
    <row r="620" ht="14.2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43"/>
      <c r="V620" s="43"/>
      <c r="W620" s="43"/>
      <c r="X620" s="24"/>
      <c r="Y620" s="24"/>
      <c r="Z620" s="24"/>
    </row>
    <row r="621" ht="14.2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43"/>
      <c r="V621" s="43"/>
      <c r="W621" s="43"/>
      <c r="X621" s="24"/>
      <c r="Y621" s="24"/>
      <c r="Z621" s="24"/>
    </row>
    <row r="622" ht="14.2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43"/>
      <c r="V622" s="43"/>
      <c r="W622" s="43"/>
      <c r="X622" s="24"/>
      <c r="Y622" s="24"/>
      <c r="Z622" s="24"/>
    </row>
    <row r="623" ht="14.2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43"/>
      <c r="V623" s="43"/>
      <c r="W623" s="43"/>
      <c r="X623" s="24"/>
      <c r="Y623" s="24"/>
      <c r="Z623" s="24"/>
    </row>
    <row r="624" ht="14.2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43"/>
      <c r="V624" s="43"/>
      <c r="W624" s="43"/>
      <c r="X624" s="24"/>
      <c r="Y624" s="24"/>
      <c r="Z624" s="24"/>
    </row>
    <row r="625" ht="14.2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43"/>
      <c r="V625" s="43"/>
      <c r="W625" s="43"/>
      <c r="X625" s="24"/>
      <c r="Y625" s="24"/>
      <c r="Z625" s="24"/>
    </row>
    <row r="626" ht="14.2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43"/>
      <c r="V626" s="43"/>
      <c r="W626" s="43"/>
      <c r="X626" s="24"/>
      <c r="Y626" s="24"/>
      <c r="Z626" s="24"/>
    </row>
    <row r="627" ht="14.2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43"/>
      <c r="V627" s="43"/>
      <c r="W627" s="43"/>
      <c r="X627" s="24"/>
      <c r="Y627" s="24"/>
      <c r="Z627" s="24"/>
    </row>
    <row r="628" ht="14.2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43"/>
      <c r="V628" s="43"/>
      <c r="W628" s="43"/>
      <c r="X628" s="24"/>
      <c r="Y628" s="24"/>
      <c r="Z628" s="24"/>
    </row>
    <row r="629" ht="14.2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43"/>
      <c r="V629" s="43"/>
      <c r="W629" s="43"/>
      <c r="X629" s="24"/>
      <c r="Y629" s="24"/>
      <c r="Z629" s="24"/>
    </row>
    <row r="630" ht="14.2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43"/>
      <c r="V630" s="43"/>
      <c r="W630" s="43"/>
      <c r="X630" s="24"/>
      <c r="Y630" s="24"/>
      <c r="Z630" s="24"/>
    </row>
    <row r="631" ht="14.2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43"/>
      <c r="V631" s="43"/>
      <c r="W631" s="43"/>
      <c r="X631" s="24"/>
      <c r="Y631" s="24"/>
      <c r="Z631" s="24"/>
    </row>
    <row r="632" ht="14.2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43"/>
      <c r="V632" s="43"/>
      <c r="W632" s="43"/>
      <c r="X632" s="24"/>
      <c r="Y632" s="24"/>
      <c r="Z632" s="24"/>
    </row>
    <row r="633" ht="14.2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43"/>
      <c r="V633" s="43"/>
      <c r="W633" s="43"/>
      <c r="X633" s="24"/>
      <c r="Y633" s="24"/>
      <c r="Z633" s="24"/>
    </row>
    <row r="634" ht="14.2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43"/>
      <c r="V634" s="43"/>
      <c r="W634" s="43"/>
      <c r="X634" s="24"/>
      <c r="Y634" s="24"/>
      <c r="Z634" s="24"/>
    </row>
    <row r="635" ht="14.2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43"/>
      <c r="V635" s="43"/>
      <c r="W635" s="43"/>
      <c r="X635" s="24"/>
      <c r="Y635" s="24"/>
      <c r="Z635" s="24"/>
    </row>
    <row r="636" ht="14.2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43"/>
      <c r="V636" s="43"/>
      <c r="W636" s="43"/>
      <c r="X636" s="24"/>
      <c r="Y636" s="24"/>
      <c r="Z636" s="24"/>
    </row>
    <row r="637" ht="14.2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43"/>
      <c r="V637" s="43"/>
      <c r="W637" s="43"/>
      <c r="X637" s="24"/>
      <c r="Y637" s="24"/>
      <c r="Z637" s="24"/>
    </row>
    <row r="638" ht="14.2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43"/>
      <c r="V638" s="43"/>
      <c r="W638" s="43"/>
      <c r="X638" s="24"/>
      <c r="Y638" s="24"/>
      <c r="Z638" s="24"/>
    </row>
    <row r="639" ht="14.2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43"/>
      <c r="V639" s="43"/>
      <c r="W639" s="43"/>
      <c r="X639" s="24"/>
      <c r="Y639" s="24"/>
      <c r="Z639" s="24"/>
    </row>
    <row r="640" ht="14.2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43"/>
      <c r="V640" s="43"/>
      <c r="W640" s="43"/>
      <c r="X640" s="24"/>
      <c r="Y640" s="24"/>
      <c r="Z640" s="24"/>
    </row>
    <row r="641" ht="14.2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43"/>
      <c r="V641" s="43"/>
      <c r="W641" s="43"/>
      <c r="X641" s="24"/>
      <c r="Y641" s="24"/>
      <c r="Z641" s="24"/>
    </row>
    <row r="642" ht="14.2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43"/>
      <c r="V642" s="43"/>
      <c r="W642" s="43"/>
      <c r="X642" s="24"/>
      <c r="Y642" s="24"/>
      <c r="Z642" s="24"/>
    </row>
    <row r="643" ht="14.2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43"/>
      <c r="V643" s="43"/>
      <c r="W643" s="43"/>
      <c r="X643" s="24"/>
      <c r="Y643" s="24"/>
      <c r="Z643" s="24"/>
    </row>
    <row r="644" ht="14.2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43"/>
      <c r="V644" s="43"/>
      <c r="W644" s="43"/>
      <c r="X644" s="24"/>
      <c r="Y644" s="24"/>
      <c r="Z644" s="24"/>
    </row>
    <row r="645" ht="14.2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43"/>
      <c r="V645" s="43"/>
      <c r="W645" s="43"/>
      <c r="X645" s="24"/>
      <c r="Y645" s="24"/>
      <c r="Z645" s="24"/>
    </row>
    <row r="646" ht="14.2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43"/>
      <c r="V646" s="43"/>
      <c r="W646" s="43"/>
      <c r="X646" s="24"/>
      <c r="Y646" s="24"/>
      <c r="Z646" s="24"/>
    </row>
    <row r="647" ht="14.2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43"/>
      <c r="V647" s="43"/>
      <c r="W647" s="43"/>
      <c r="X647" s="24"/>
      <c r="Y647" s="24"/>
      <c r="Z647" s="24"/>
    </row>
    <row r="648" ht="14.2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43"/>
      <c r="V648" s="43"/>
      <c r="W648" s="43"/>
      <c r="X648" s="24"/>
      <c r="Y648" s="24"/>
      <c r="Z648" s="24"/>
    </row>
    <row r="649" ht="14.2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43"/>
      <c r="V649" s="43"/>
      <c r="W649" s="43"/>
      <c r="X649" s="24"/>
      <c r="Y649" s="24"/>
      <c r="Z649" s="24"/>
    </row>
    <row r="650" ht="14.2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43"/>
      <c r="V650" s="43"/>
      <c r="W650" s="43"/>
      <c r="X650" s="24"/>
      <c r="Y650" s="24"/>
      <c r="Z650" s="24"/>
    </row>
    <row r="651" ht="14.2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43"/>
      <c r="V651" s="43"/>
      <c r="W651" s="43"/>
      <c r="X651" s="24"/>
      <c r="Y651" s="24"/>
      <c r="Z651" s="24"/>
    </row>
    <row r="652" ht="14.2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43"/>
      <c r="V652" s="43"/>
      <c r="W652" s="43"/>
      <c r="X652" s="24"/>
      <c r="Y652" s="24"/>
      <c r="Z652" s="24"/>
    </row>
    <row r="653" ht="14.2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43"/>
      <c r="V653" s="43"/>
      <c r="W653" s="43"/>
      <c r="X653" s="24"/>
      <c r="Y653" s="24"/>
      <c r="Z653" s="24"/>
    </row>
    <row r="654" ht="14.2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43"/>
      <c r="V654" s="43"/>
      <c r="W654" s="43"/>
      <c r="X654" s="24"/>
      <c r="Y654" s="24"/>
      <c r="Z654" s="24"/>
    </row>
    <row r="655" ht="14.2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43"/>
      <c r="V655" s="43"/>
      <c r="W655" s="43"/>
      <c r="X655" s="24"/>
      <c r="Y655" s="24"/>
      <c r="Z655" s="24"/>
    </row>
    <row r="656" ht="14.2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43"/>
      <c r="V656" s="43"/>
      <c r="W656" s="43"/>
      <c r="X656" s="24"/>
      <c r="Y656" s="24"/>
      <c r="Z656" s="24"/>
    </row>
    <row r="657" ht="14.2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43"/>
      <c r="V657" s="43"/>
      <c r="W657" s="43"/>
      <c r="X657" s="24"/>
      <c r="Y657" s="24"/>
      <c r="Z657" s="24"/>
    </row>
    <row r="658" ht="14.2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43"/>
      <c r="V658" s="43"/>
      <c r="W658" s="43"/>
      <c r="X658" s="24"/>
      <c r="Y658" s="24"/>
      <c r="Z658" s="24"/>
    </row>
    <row r="659" ht="14.2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43"/>
      <c r="V659" s="43"/>
      <c r="W659" s="43"/>
      <c r="X659" s="24"/>
      <c r="Y659" s="24"/>
      <c r="Z659" s="24"/>
    </row>
    <row r="660" ht="14.2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43"/>
      <c r="V660" s="43"/>
      <c r="W660" s="43"/>
      <c r="X660" s="24"/>
      <c r="Y660" s="24"/>
      <c r="Z660" s="24"/>
    </row>
    <row r="661" ht="14.2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43"/>
      <c r="V661" s="43"/>
      <c r="W661" s="43"/>
      <c r="X661" s="24"/>
      <c r="Y661" s="24"/>
      <c r="Z661" s="24"/>
    </row>
    <row r="662" ht="14.2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43"/>
      <c r="V662" s="43"/>
      <c r="W662" s="43"/>
      <c r="X662" s="24"/>
      <c r="Y662" s="24"/>
      <c r="Z662" s="24"/>
    </row>
    <row r="663" ht="14.2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43"/>
      <c r="V663" s="43"/>
      <c r="W663" s="43"/>
      <c r="X663" s="24"/>
      <c r="Y663" s="24"/>
      <c r="Z663" s="24"/>
    </row>
    <row r="664" ht="14.2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43"/>
      <c r="V664" s="43"/>
      <c r="W664" s="43"/>
      <c r="X664" s="24"/>
      <c r="Y664" s="24"/>
      <c r="Z664" s="24"/>
    </row>
    <row r="665" ht="14.2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43"/>
      <c r="V665" s="43"/>
      <c r="W665" s="43"/>
      <c r="X665" s="24"/>
      <c r="Y665" s="24"/>
      <c r="Z665" s="24"/>
    </row>
    <row r="666" ht="14.2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43"/>
      <c r="V666" s="43"/>
      <c r="W666" s="43"/>
      <c r="X666" s="24"/>
      <c r="Y666" s="24"/>
      <c r="Z666" s="24"/>
    </row>
    <row r="667" ht="14.2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43"/>
      <c r="V667" s="43"/>
      <c r="W667" s="43"/>
      <c r="X667" s="24"/>
      <c r="Y667" s="24"/>
      <c r="Z667" s="24"/>
    </row>
    <row r="668" ht="14.2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43"/>
      <c r="V668" s="43"/>
      <c r="W668" s="43"/>
      <c r="X668" s="24"/>
      <c r="Y668" s="24"/>
      <c r="Z668" s="24"/>
    </row>
    <row r="669" ht="14.2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43"/>
      <c r="V669" s="43"/>
      <c r="W669" s="43"/>
      <c r="X669" s="24"/>
      <c r="Y669" s="24"/>
      <c r="Z669" s="24"/>
    </row>
    <row r="670" ht="14.2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43"/>
      <c r="V670" s="43"/>
      <c r="W670" s="43"/>
      <c r="X670" s="24"/>
      <c r="Y670" s="24"/>
      <c r="Z670" s="24"/>
    </row>
    <row r="671" ht="14.2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43"/>
      <c r="V671" s="43"/>
      <c r="W671" s="43"/>
      <c r="X671" s="24"/>
      <c r="Y671" s="24"/>
      <c r="Z671" s="24"/>
    </row>
    <row r="672" ht="14.2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43"/>
      <c r="V672" s="43"/>
      <c r="W672" s="43"/>
      <c r="X672" s="24"/>
      <c r="Y672" s="24"/>
      <c r="Z672" s="24"/>
    </row>
    <row r="673" ht="14.2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43"/>
      <c r="V673" s="43"/>
      <c r="W673" s="43"/>
      <c r="X673" s="24"/>
      <c r="Y673" s="24"/>
      <c r="Z673" s="24"/>
    </row>
    <row r="674" ht="14.2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43"/>
      <c r="V674" s="43"/>
      <c r="W674" s="43"/>
      <c r="X674" s="24"/>
      <c r="Y674" s="24"/>
      <c r="Z674" s="24"/>
    </row>
    <row r="675" ht="14.2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43"/>
      <c r="V675" s="43"/>
      <c r="W675" s="43"/>
      <c r="X675" s="24"/>
      <c r="Y675" s="24"/>
      <c r="Z675" s="24"/>
    </row>
    <row r="676" ht="14.2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43"/>
      <c r="V676" s="43"/>
      <c r="W676" s="43"/>
      <c r="X676" s="24"/>
      <c r="Y676" s="24"/>
      <c r="Z676" s="24"/>
    </row>
    <row r="677" ht="14.2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43"/>
      <c r="V677" s="43"/>
      <c r="W677" s="43"/>
      <c r="X677" s="24"/>
      <c r="Y677" s="24"/>
      <c r="Z677" s="24"/>
    </row>
    <row r="678" ht="14.2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43"/>
      <c r="V678" s="43"/>
      <c r="W678" s="43"/>
      <c r="X678" s="24"/>
      <c r="Y678" s="24"/>
      <c r="Z678" s="24"/>
    </row>
    <row r="679" ht="14.2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43"/>
      <c r="V679" s="43"/>
      <c r="W679" s="43"/>
      <c r="X679" s="24"/>
      <c r="Y679" s="24"/>
      <c r="Z679" s="24"/>
    </row>
    <row r="680" ht="14.2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43"/>
      <c r="V680" s="43"/>
      <c r="W680" s="43"/>
      <c r="X680" s="24"/>
      <c r="Y680" s="24"/>
      <c r="Z680" s="24"/>
    </row>
    <row r="681" ht="14.2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43"/>
      <c r="V681" s="43"/>
      <c r="W681" s="43"/>
      <c r="X681" s="24"/>
      <c r="Y681" s="24"/>
      <c r="Z681" s="24"/>
    </row>
    <row r="682" ht="14.2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43"/>
      <c r="V682" s="43"/>
      <c r="W682" s="43"/>
      <c r="X682" s="24"/>
      <c r="Y682" s="24"/>
      <c r="Z682" s="24"/>
    </row>
    <row r="683" ht="14.2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43"/>
      <c r="V683" s="43"/>
      <c r="W683" s="43"/>
      <c r="X683" s="24"/>
      <c r="Y683" s="24"/>
      <c r="Z683" s="24"/>
    </row>
    <row r="684" ht="14.2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43"/>
      <c r="V684" s="43"/>
      <c r="W684" s="43"/>
      <c r="X684" s="24"/>
      <c r="Y684" s="24"/>
      <c r="Z684" s="24"/>
    </row>
    <row r="685" ht="14.2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43"/>
      <c r="V685" s="43"/>
      <c r="W685" s="43"/>
      <c r="X685" s="24"/>
      <c r="Y685" s="24"/>
      <c r="Z685" s="24"/>
    </row>
    <row r="686" ht="14.2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43"/>
      <c r="V686" s="43"/>
      <c r="W686" s="43"/>
      <c r="X686" s="24"/>
      <c r="Y686" s="24"/>
      <c r="Z686" s="24"/>
    </row>
    <row r="687" ht="14.2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43"/>
      <c r="V687" s="43"/>
      <c r="W687" s="43"/>
      <c r="X687" s="24"/>
      <c r="Y687" s="24"/>
      <c r="Z687" s="24"/>
    </row>
    <row r="688" ht="14.2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43"/>
      <c r="V688" s="43"/>
      <c r="W688" s="43"/>
      <c r="X688" s="24"/>
      <c r="Y688" s="24"/>
      <c r="Z688" s="24"/>
    </row>
    <row r="689" ht="14.2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43"/>
      <c r="V689" s="43"/>
      <c r="W689" s="43"/>
      <c r="X689" s="24"/>
      <c r="Y689" s="24"/>
      <c r="Z689" s="24"/>
    </row>
    <row r="690" ht="14.2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43"/>
      <c r="V690" s="43"/>
      <c r="W690" s="43"/>
      <c r="X690" s="24"/>
      <c r="Y690" s="24"/>
      <c r="Z690" s="24"/>
    </row>
    <row r="691" ht="14.2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43"/>
      <c r="V691" s="43"/>
      <c r="W691" s="43"/>
      <c r="X691" s="24"/>
      <c r="Y691" s="24"/>
      <c r="Z691" s="24"/>
    </row>
    <row r="692" ht="14.2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43"/>
      <c r="V692" s="43"/>
      <c r="W692" s="43"/>
      <c r="X692" s="24"/>
      <c r="Y692" s="24"/>
      <c r="Z692" s="24"/>
    </row>
    <row r="693" ht="14.2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43"/>
      <c r="V693" s="43"/>
      <c r="W693" s="43"/>
      <c r="X693" s="24"/>
      <c r="Y693" s="24"/>
      <c r="Z693" s="24"/>
    </row>
    <row r="694" ht="14.2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43"/>
      <c r="V694" s="43"/>
      <c r="W694" s="43"/>
      <c r="X694" s="24"/>
      <c r="Y694" s="24"/>
      <c r="Z694" s="24"/>
    </row>
    <row r="695" ht="14.2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43"/>
      <c r="V695" s="43"/>
      <c r="W695" s="43"/>
      <c r="X695" s="24"/>
      <c r="Y695" s="24"/>
      <c r="Z695" s="24"/>
    </row>
    <row r="696" ht="14.2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43"/>
      <c r="V696" s="43"/>
      <c r="W696" s="43"/>
      <c r="X696" s="24"/>
      <c r="Y696" s="24"/>
      <c r="Z696" s="24"/>
    </row>
    <row r="697" ht="14.2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43"/>
      <c r="V697" s="43"/>
      <c r="W697" s="43"/>
      <c r="X697" s="24"/>
      <c r="Y697" s="24"/>
      <c r="Z697" s="24"/>
    </row>
    <row r="698" ht="14.2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43"/>
      <c r="V698" s="43"/>
      <c r="W698" s="43"/>
      <c r="X698" s="24"/>
      <c r="Y698" s="24"/>
      <c r="Z698" s="24"/>
    </row>
    <row r="699" ht="14.2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43"/>
      <c r="V699" s="43"/>
      <c r="W699" s="43"/>
      <c r="X699" s="24"/>
      <c r="Y699" s="24"/>
      <c r="Z699" s="24"/>
    </row>
    <row r="700" ht="14.2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43"/>
      <c r="V700" s="43"/>
      <c r="W700" s="43"/>
      <c r="X700" s="24"/>
      <c r="Y700" s="24"/>
      <c r="Z700" s="24"/>
    </row>
    <row r="701" ht="14.2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43"/>
      <c r="V701" s="43"/>
      <c r="W701" s="43"/>
      <c r="X701" s="24"/>
      <c r="Y701" s="24"/>
      <c r="Z701" s="24"/>
    </row>
    <row r="702" ht="14.2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43"/>
      <c r="V702" s="43"/>
      <c r="W702" s="43"/>
      <c r="X702" s="24"/>
      <c r="Y702" s="24"/>
      <c r="Z702" s="24"/>
    </row>
    <row r="703" ht="14.2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43"/>
      <c r="V703" s="43"/>
      <c r="W703" s="43"/>
      <c r="X703" s="24"/>
      <c r="Y703" s="24"/>
      <c r="Z703" s="24"/>
    </row>
    <row r="704" ht="14.2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43"/>
      <c r="V704" s="43"/>
      <c r="W704" s="43"/>
      <c r="X704" s="24"/>
      <c r="Y704" s="24"/>
      <c r="Z704" s="24"/>
    </row>
    <row r="705" ht="14.2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43"/>
      <c r="V705" s="43"/>
      <c r="W705" s="43"/>
      <c r="X705" s="24"/>
      <c r="Y705" s="24"/>
      <c r="Z705" s="24"/>
    </row>
    <row r="706" ht="14.2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43"/>
      <c r="V706" s="43"/>
      <c r="W706" s="43"/>
      <c r="X706" s="24"/>
      <c r="Y706" s="24"/>
      <c r="Z706" s="24"/>
    </row>
    <row r="707" ht="14.2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43"/>
      <c r="V707" s="43"/>
      <c r="W707" s="43"/>
      <c r="X707" s="24"/>
      <c r="Y707" s="24"/>
      <c r="Z707" s="24"/>
    </row>
    <row r="708" ht="14.2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43"/>
      <c r="V708" s="43"/>
      <c r="W708" s="43"/>
      <c r="X708" s="24"/>
      <c r="Y708" s="24"/>
      <c r="Z708" s="24"/>
    </row>
    <row r="709" ht="14.2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43"/>
      <c r="V709" s="43"/>
      <c r="W709" s="43"/>
      <c r="X709" s="24"/>
      <c r="Y709" s="24"/>
      <c r="Z709" s="24"/>
    </row>
    <row r="710" ht="14.2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43"/>
      <c r="V710" s="43"/>
      <c r="W710" s="43"/>
      <c r="X710" s="24"/>
      <c r="Y710" s="24"/>
      <c r="Z710" s="24"/>
    </row>
    <row r="711" ht="14.2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43"/>
      <c r="V711" s="43"/>
      <c r="W711" s="43"/>
      <c r="X711" s="24"/>
      <c r="Y711" s="24"/>
      <c r="Z711" s="24"/>
    </row>
    <row r="712" ht="14.2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43"/>
      <c r="V712" s="43"/>
      <c r="W712" s="43"/>
      <c r="X712" s="24"/>
      <c r="Y712" s="24"/>
      <c r="Z712" s="24"/>
    </row>
    <row r="713" ht="14.2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43"/>
      <c r="V713" s="43"/>
      <c r="W713" s="43"/>
      <c r="X713" s="24"/>
      <c r="Y713" s="24"/>
      <c r="Z713" s="24"/>
    </row>
    <row r="714" ht="14.2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43"/>
      <c r="V714" s="43"/>
      <c r="W714" s="43"/>
      <c r="X714" s="24"/>
      <c r="Y714" s="24"/>
      <c r="Z714" s="24"/>
    </row>
    <row r="715" ht="14.2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43"/>
      <c r="V715" s="43"/>
      <c r="W715" s="43"/>
      <c r="X715" s="24"/>
      <c r="Y715" s="24"/>
      <c r="Z715" s="24"/>
    </row>
    <row r="716" ht="14.2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43"/>
      <c r="V716" s="43"/>
      <c r="W716" s="43"/>
      <c r="X716" s="24"/>
      <c r="Y716" s="24"/>
      <c r="Z716" s="24"/>
    </row>
    <row r="717" ht="14.2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43"/>
      <c r="V717" s="43"/>
      <c r="W717" s="43"/>
      <c r="X717" s="24"/>
      <c r="Y717" s="24"/>
      <c r="Z717" s="24"/>
    </row>
    <row r="718" ht="14.2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43"/>
      <c r="V718" s="43"/>
      <c r="W718" s="43"/>
      <c r="X718" s="24"/>
      <c r="Y718" s="24"/>
      <c r="Z718" s="24"/>
    </row>
    <row r="719" ht="14.2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43"/>
      <c r="V719" s="43"/>
      <c r="W719" s="43"/>
      <c r="X719" s="24"/>
      <c r="Y719" s="24"/>
      <c r="Z719" s="24"/>
    </row>
    <row r="720" ht="14.2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43"/>
      <c r="V720" s="43"/>
      <c r="W720" s="43"/>
      <c r="X720" s="24"/>
      <c r="Y720" s="24"/>
      <c r="Z720" s="24"/>
    </row>
    <row r="721" ht="14.2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43"/>
      <c r="V721" s="43"/>
      <c r="W721" s="43"/>
      <c r="X721" s="24"/>
      <c r="Y721" s="24"/>
      <c r="Z721" s="24"/>
    </row>
    <row r="722" ht="14.2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43"/>
      <c r="V722" s="43"/>
      <c r="W722" s="43"/>
      <c r="X722" s="24"/>
      <c r="Y722" s="24"/>
      <c r="Z722" s="24"/>
    </row>
    <row r="723" ht="14.2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43"/>
      <c r="V723" s="43"/>
      <c r="W723" s="43"/>
      <c r="X723" s="24"/>
      <c r="Y723" s="24"/>
      <c r="Z723" s="24"/>
    </row>
    <row r="724" ht="14.2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43"/>
      <c r="V724" s="43"/>
      <c r="W724" s="43"/>
      <c r="X724" s="24"/>
      <c r="Y724" s="24"/>
      <c r="Z724" s="24"/>
    </row>
    <row r="725" ht="14.2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43"/>
      <c r="V725" s="43"/>
      <c r="W725" s="43"/>
      <c r="X725" s="24"/>
      <c r="Y725" s="24"/>
      <c r="Z725" s="24"/>
    </row>
    <row r="726" ht="14.2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43"/>
      <c r="V726" s="43"/>
      <c r="W726" s="43"/>
      <c r="X726" s="24"/>
      <c r="Y726" s="24"/>
      <c r="Z726" s="24"/>
    </row>
    <row r="727" ht="14.2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43"/>
      <c r="V727" s="43"/>
      <c r="W727" s="43"/>
      <c r="X727" s="24"/>
      <c r="Y727" s="24"/>
      <c r="Z727" s="24"/>
    </row>
    <row r="728" ht="14.2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43"/>
      <c r="V728" s="43"/>
      <c r="W728" s="43"/>
      <c r="X728" s="24"/>
      <c r="Y728" s="24"/>
      <c r="Z728" s="24"/>
    </row>
    <row r="729" ht="14.2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43"/>
      <c r="V729" s="43"/>
      <c r="W729" s="43"/>
      <c r="X729" s="24"/>
      <c r="Y729" s="24"/>
      <c r="Z729" s="24"/>
    </row>
    <row r="730" ht="14.2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43"/>
      <c r="V730" s="43"/>
      <c r="W730" s="43"/>
      <c r="X730" s="24"/>
      <c r="Y730" s="24"/>
      <c r="Z730" s="24"/>
    </row>
    <row r="731" ht="14.2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43"/>
      <c r="V731" s="43"/>
      <c r="W731" s="43"/>
      <c r="X731" s="24"/>
      <c r="Y731" s="24"/>
      <c r="Z731" s="24"/>
    </row>
    <row r="732" ht="14.2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43"/>
      <c r="V732" s="43"/>
      <c r="W732" s="43"/>
      <c r="X732" s="24"/>
      <c r="Y732" s="24"/>
      <c r="Z732" s="24"/>
    </row>
    <row r="733" ht="14.2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43"/>
      <c r="V733" s="43"/>
      <c r="W733" s="43"/>
      <c r="X733" s="24"/>
      <c r="Y733" s="24"/>
      <c r="Z733" s="24"/>
    </row>
    <row r="734" ht="14.2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43"/>
      <c r="V734" s="43"/>
      <c r="W734" s="43"/>
      <c r="X734" s="24"/>
      <c r="Y734" s="24"/>
      <c r="Z734" s="24"/>
    </row>
    <row r="735" ht="14.2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43"/>
      <c r="V735" s="43"/>
      <c r="W735" s="43"/>
      <c r="X735" s="24"/>
      <c r="Y735" s="24"/>
      <c r="Z735" s="24"/>
    </row>
    <row r="736" ht="14.2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43"/>
      <c r="V736" s="43"/>
      <c r="W736" s="43"/>
      <c r="X736" s="24"/>
      <c r="Y736" s="24"/>
      <c r="Z736" s="24"/>
    </row>
    <row r="737" ht="14.2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43"/>
      <c r="V737" s="43"/>
      <c r="W737" s="43"/>
      <c r="X737" s="24"/>
      <c r="Y737" s="24"/>
      <c r="Z737" s="24"/>
    </row>
    <row r="738" ht="14.2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43"/>
      <c r="V738" s="43"/>
      <c r="W738" s="43"/>
      <c r="X738" s="24"/>
      <c r="Y738" s="24"/>
      <c r="Z738" s="24"/>
    </row>
    <row r="739" ht="14.2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43"/>
      <c r="V739" s="43"/>
      <c r="W739" s="43"/>
      <c r="X739" s="24"/>
      <c r="Y739" s="24"/>
      <c r="Z739" s="24"/>
    </row>
    <row r="740" ht="14.2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43"/>
      <c r="V740" s="43"/>
      <c r="W740" s="43"/>
      <c r="X740" s="24"/>
      <c r="Y740" s="24"/>
      <c r="Z740" s="24"/>
    </row>
    <row r="741" ht="14.2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43"/>
      <c r="V741" s="43"/>
      <c r="W741" s="43"/>
      <c r="X741" s="24"/>
      <c r="Y741" s="24"/>
      <c r="Z741" s="24"/>
    </row>
    <row r="742" ht="14.2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43"/>
      <c r="V742" s="43"/>
      <c r="W742" s="43"/>
      <c r="X742" s="24"/>
      <c r="Y742" s="24"/>
      <c r="Z742" s="24"/>
    </row>
    <row r="743" ht="14.2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43"/>
      <c r="V743" s="43"/>
      <c r="W743" s="43"/>
      <c r="X743" s="24"/>
      <c r="Y743" s="24"/>
      <c r="Z743" s="24"/>
    </row>
    <row r="744" ht="14.2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43"/>
      <c r="V744" s="43"/>
      <c r="W744" s="43"/>
      <c r="X744" s="24"/>
      <c r="Y744" s="24"/>
      <c r="Z744" s="24"/>
    </row>
    <row r="745" ht="14.2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43"/>
      <c r="V745" s="43"/>
      <c r="W745" s="43"/>
      <c r="X745" s="24"/>
      <c r="Y745" s="24"/>
      <c r="Z745" s="24"/>
    </row>
    <row r="746" ht="14.2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43"/>
      <c r="V746" s="43"/>
      <c r="W746" s="43"/>
      <c r="X746" s="24"/>
      <c r="Y746" s="24"/>
      <c r="Z746" s="24"/>
    </row>
    <row r="747" ht="14.2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43"/>
      <c r="V747" s="43"/>
      <c r="W747" s="43"/>
      <c r="X747" s="24"/>
      <c r="Y747" s="24"/>
      <c r="Z747" s="24"/>
    </row>
    <row r="748" ht="14.2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43"/>
      <c r="V748" s="43"/>
      <c r="W748" s="43"/>
      <c r="X748" s="24"/>
      <c r="Y748" s="24"/>
      <c r="Z748" s="24"/>
    </row>
    <row r="749" ht="14.2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43"/>
      <c r="V749" s="43"/>
      <c r="W749" s="43"/>
      <c r="X749" s="24"/>
      <c r="Y749" s="24"/>
      <c r="Z749" s="24"/>
    </row>
    <row r="750" ht="14.2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43"/>
      <c r="V750" s="43"/>
      <c r="W750" s="43"/>
      <c r="X750" s="24"/>
      <c r="Y750" s="24"/>
      <c r="Z750" s="24"/>
    </row>
    <row r="751" ht="14.2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43"/>
      <c r="V751" s="43"/>
      <c r="W751" s="43"/>
      <c r="X751" s="24"/>
      <c r="Y751" s="24"/>
      <c r="Z751" s="24"/>
    </row>
    <row r="752" ht="14.2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43"/>
      <c r="V752" s="43"/>
      <c r="W752" s="43"/>
      <c r="X752" s="24"/>
      <c r="Y752" s="24"/>
      <c r="Z752" s="24"/>
    </row>
    <row r="753" ht="14.2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43"/>
      <c r="V753" s="43"/>
      <c r="W753" s="43"/>
      <c r="X753" s="24"/>
      <c r="Y753" s="24"/>
      <c r="Z753" s="24"/>
    </row>
    <row r="754" ht="14.2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43"/>
      <c r="V754" s="43"/>
      <c r="W754" s="43"/>
      <c r="X754" s="24"/>
      <c r="Y754" s="24"/>
      <c r="Z754" s="24"/>
    </row>
    <row r="755" ht="14.2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43"/>
      <c r="V755" s="43"/>
      <c r="W755" s="43"/>
      <c r="X755" s="24"/>
      <c r="Y755" s="24"/>
      <c r="Z755" s="24"/>
    </row>
    <row r="756" ht="14.2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43"/>
      <c r="V756" s="43"/>
      <c r="W756" s="43"/>
      <c r="X756" s="24"/>
      <c r="Y756" s="24"/>
      <c r="Z756" s="24"/>
    </row>
    <row r="757" ht="14.2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43"/>
      <c r="V757" s="43"/>
      <c r="W757" s="43"/>
      <c r="X757" s="24"/>
      <c r="Y757" s="24"/>
      <c r="Z757" s="24"/>
    </row>
    <row r="758" ht="14.2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43"/>
      <c r="V758" s="43"/>
      <c r="W758" s="43"/>
      <c r="X758" s="24"/>
      <c r="Y758" s="24"/>
      <c r="Z758" s="24"/>
    </row>
    <row r="759" ht="14.2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43"/>
      <c r="V759" s="43"/>
      <c r="W759" s="43"/>
      <c r="X759" s="24"/>
      <c r="Y759" s="24"/>
      <c r="Z759" s="24"/>
    </row>
    <row r="760" ht="14.2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43"/>
      <c r="V760" s="43"/>
      <c r="W760" s="43"/>
      <c r="X760" s="24"/>
      <c r="Y760" s="24"/>
      <c r="Z760" s="24"/>
    </row>
    <row r="761" ht="14.2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43"/>
      <c r="V761" s="43"/>
      <c r="W761" s="43"/>
      <c r="X761" s="24"/>
      <c r="Y761" s="24"/>
      <c r="Z761" s="24"/>
    </row>
    <row r="762" ht="14.2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43"/>
      <c r="V762" s="43"/>
      <c r="W762" s="43"/>
      <c r="X762" s="24"/>
      <c r="Y762" s="24"/>
      <c r="Z762" s="24"/>
    </row>
    <row r="763" ht="14.2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43"/>
      <c r="V763" s="43"/>
      <c r="W763" s="43"/>
      <c r="X763" s="24"/>
      <c r="Y763" s="24"/>
      <c r="Z763" s="24"/>
    </row>
    <row r="764" ht="14.2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43"/>
      <c r="V764" s="43"/>
      <c r="W764" s="43"/>
      <c r="X764" s="24"/>
      <c r="Y764" s="24"/>
      <c r="Z764" s="24"/>
    </row>
    <row r="765" ht="14.2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43"/>
      <c r="V765" s="43"/>
      <c r="W765" s="43"/>
      <c r="X765" s="24"/>
      <c r="Y765" s="24"/>
      <c r="Z765" s="24"/>
    </row>
    <row r="766" ht="14.2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43"/>
      <c r="V766" s="43"/>
      <c r="W766" s="43"/>
      <c r="X766" s="24"/>
      <c r="Y766" s="24"/>
      <c r="Z766" s="24"/>
    </row>
    <row r="767" ht="14.2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43"/>
      <c r="V767" s="43"/>
      <c r="W767" s="43"/>
      <c r="X767" s="24"/>
      <c r="Y767" s="24"/>
      <c r="Z767" s="24"/>
    </row>
    <row r="768" ht="14.2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43"/>
      <c r="V768" s="43"/>
      <c r="W768" s="43"/>
      <c r="X768" s="24"/>
      <c r="Y768" s="24"/>
      <c r="Z768" s="24"/>
    </row>
    <row r="769" ht="14.2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43"/>
      <c r="V769" s="43"/>
      <c r="W769" s="43"/>
      <c r="X769" s="24"/>
      <c r="Y769" s="24"/>
      <c r="Z769" s="24"/>
    </row>
    <row r="770" ht="14.2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43"/>
      <c r="V770" s="43"/>
      <c r="W770" s="43"/>
      <c r="X770" s="24"/>
      <c r="Y770" s="24"/>
      <c r="Z770" s="24"/>
    </row>
    <row r="771" ht="14.2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43"/>
      <c r="V771" s="43"/>
      <c r="W771" s="43"/>
      <c r="X771" s="24"/>
      <c r="Y771" s="24"/>
      <c r="Z771" s="24"/>
    </row>
    <row r="772" ht="14.2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43"/>
      <c r="V772" s="43"/>
      <c r="W772" s="43"/>
      <c r="X772" s="24"/>
      <c r="Y772" s="24"/>
      <c r="Z772" s="24"/>
    </row>
    <row r="773" ht="14.2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43"/>
      <c r="V773" s="43"/>
      <c r="W773" s="43"/>
      <c r="X773" s="24"/>
      <c r="Y773" s="24"/>
      <c r="Z773" s="24"/>
    </row>
    <row r="774" ht="14.2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43"/>
      <c r="V774" s="43"/>
      <c r="W774" s="43"/>
      <c r="X774" s="24"/>
      <c r="Y774" s="24"/>
      <c r="Z774" s="24"/>
    </row>
    <row r="775" ht="14.2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43"/>
      <c r="V775" s="43"/>
      <c r="W775" s="43"/>
      <c r="X775" s="24"/>
      <c r="Y775" s="24"/>
      <c r="Z775" s="24"/>
    </row>
    <row r="776" ht="14.2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43"/>
      <c r="V776" s="43"/>
      <c r="W776" s="43"/>
      <c r="X776" s="24"/>
      <c r="Y776" s="24"/>
      <c r="Z776" s="24"/>
    </row>
    <row r="777" ht="14.2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43"/>
      <c r="V777" s="43"/>
      <c r="W777" s="43"/>
      <c r="X777" s="24"/>
      <c r="Y777" s="24"/>
      <c r="Z777" s="24"/>
    </row>
    <row r="778" ht="14.2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43"/>
      <c r="V778" s="43"/>
      <c r="W778" s="43"/>
      <c r="X778" s="24"/>
      <c r="Y778" s="24"/>
      <c r="Z778" s="24"/>
    </row>
    <row r="779" ht="14.2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43"/>
      <c r="V779" s="43"/>
      <c r="W779" s="43"/>
      <c r="X779" s="24"/>
      <c r="Y779" s="24"/>
      <c r="Z779" s="24"/>
    </row>
    <row r="780" ht="14.2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43"/>
      <c r="V780" s="43"/>
      <c r="W780" s="43"/>
      <c r="X780" s="24"/>
      <c r="Y780" s="24"/>
      <c r="Z780" s="24"/>
    </row>
    <row r="781" ht="14.2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43"/>
      <c r="V781" s="43"/>
      <c r="W781" s="43"/>
      <c r="X781" s="24"/>
      <c r="Y781" s="24"/>
      <c r="Z781" s="24"/>
    </row>
    <row r="782" ht="14.2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43"/>
      <c r="V782" s="43"/>
      <c r="W782" s="43"/>
      <c r="X782" s="24"/>
      <c r="Y782" s="24"/>
      <c r="Z782" s="24"/>
    </row>
    <row r="783" ht="14.2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43"/>
      <c r="V783" s="43"/>
      <c r="W783" s="43"/>
      <c r="X783" s="24"/>
      <c r="Y783" s="24"/>
      <c r="Z783" s="24"/>
    </row>
    <row r="784" ht="14.2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43"/>
      <c r="V784" s="43"/>
      <c r="W784" s="43"/>
      <c r="X784" s="24"/>
      <c r="Y784" s="24"/>
      <c r="Z784" s="24"/>
    </row>
    <row r="785" ht="14.2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43"/>
      <c r="V785" s="43"/>
      <c r="W785" s="43"/>
      <c r="X785" s="24"/>
      <c r="Y785" s="24"/>
      <c r="Z785" s="24"/>
    </row>
    <row r="786" ht="14.2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43"/>
      <c r="V786" s="43"/>
      <c r="W786" s="43"/>
      <c r="X786" s="24"/>
      <c r="Y786" s="24"/>
      <c r="Z786" s="24"/>
    </row>
    <row r="787" ht="14.2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43"/>
      <c r="V787" s="43"/>
      <c r="W787" s="43"/>
      <c r="X787" s="24"/>
      <c r="Y787" s="24"/>
      <c r="Z787" s="24"/>
    </row>
    <row r="788" ht="14.2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43"/>
      <c r="V788" s="43"/>
      <c r="W788" s="43"/>
      <c r="X788" s="24"/>
      <c r="Y788" s="24"/>
      <c r="Z788" s="24"/>
    </row>
    <row r="789" ht="14.2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43"/>
      <c r="V789" s="43"/>
      <c r="W789" s="43"/>
      <c r="X789" s="24"/>
      <c r="Y789" s="24"/>
      <c r="Z789" s="24"/>
    </row>
    <row r="790" ht="14.2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43"/>
      <c r="V790" s="43"/>
      <c r="W790" s="43"/>
      <c r="X790" s="24"/>
      <c r="Y790" s="24"/>
      <c r="Z790" s="24"/>
    </row>
    <row r="791" ht="14.2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43"/>
      <c r="V791" s="43"/>
      <c r="W791" s="43"/>
      <c r="X791" s="24"/>
      <c r="Y791" s="24"/>
      <c r="Z791" s="24"/>
    </row>
    <row r="792" ht="14.2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43"/>
      <c r="V792" s="43"/>
      <c r="W792" s="43"/>
      <c r="X792" s="24"/>
      <c r="Y792" s="24"/>
      <c r="Z792" s="24"/>
    </row>
    <row r="793" ht="14.2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43"/>
      <c r="V793" s="43"/>
      <c r="W793" s="43"/>
      <c r="X793" s="24"/>
      <c r="Y793" s="24"/>
      <c r="Z793" s="24"/>
    </row>
    <row r="794" ht="14.2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43"/>
      <c r="V794" s="43"/>
      <c r="W794" s="43"/>
      <c r="X794" s="24"/>
      <c r="Y794" s="24"/>
      <c r="Z794" s="24"/>
    </row>
    <row r="795" ht="14.2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43"/>
      <c r="V795" s="43"/>
      <c r="W795" s="43"/>
      <c r="X795" s="24"/>
      <c r="Y795" s="24"/>
      <c r="Z795" s="24"/>
    </row>
    <row r="796" ht="14.2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43"/>
      <c r="V796" s="43"/>
      <c r="W796" s="43"/>
      <c r="X796" s="24"/>
      <c r="Y796" s="24"/>
      <c r="Z796" s="24"/>
    </row>
    <row r="797" ht="14.2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43"/>
      <c r="V797" s="43"/>
      <c r="W797" s="43"/>
      <c r="X797" s="24"/>
      <c r="Y797" s="24"/>
      <c r="Z797" s="24"/>
    </row>
    <row r="798" ht="14.2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43"/>
      <c r="V798" s="43"/>
      <c r="W798" s="43"/>
      <c r="X798" s="24"/>
      <c r="Y798" s="24"/>
      <c r="Z798" s="24"/>
    </row>
    <row r="799" ht="14.2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43"/>
      <c r="V799" s="43"/>
      <c r="W799" s="43"/>
      <c r="X799" s="24"/>
      <c r="Y799" s="24"/>
      <c r="Z799" s="24"/>
    </row>
    <row r="800" ht="14.2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43"/>
      <c r="V800" s="43"/>
      <c r="W800" s="43"/>
      <c r="X800" s="24"/>
      <c r="Y800" s="24"/>
      <c r="Z800" s="24"/>
    </row>
    <row r="801" ht="14.2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43"/>
      <c r="V801" s="43"/>
      <c r="W801" s="43"/>
      <c r="X801" s="24"/>
      <c r="Y801" s="24"/>
      <c r="Z801" s="24"/>
    </row>
    <row r="802" ht="14.2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43"/>
      <c r="V802" s="43"/>
      <c r="W802" s="43"/>
      <c r="X802" s="24"/>
      <c r="Y802" s="24"/>
      <c r="Z802" s="24"/>
    </row>
    <row r="803" ht="14.2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43"/>
      <c r="V803" s="43"/>
      <c r="W803" s="43"/>
      <c r="X803" s="24"/>
      <c r="Y803" s="24"/>
      <c r="Z803" s="24"/>
    </row>
    <row r="804" ht="14.2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43"/>
      <c r="V804" s="43"/>
      <c r="W804" s="43"/>
      <c r="X804" s="24"/>
      <c r="Y804" s="24"/>
      <c r="Z804" s="24"/>
    </row>
    <row r="805" ht="14.2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43"/>
      <c r="V805" s="43"/>
      <c r="W805" s="43"/>
      <c r="X805" s="24"/>
      <c r="Y805" s="24"/>
      <c r="Z805" s="24"/>
    </row>
    <row r="806" ht="14.2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43"/>
      <c r="V806" s="43"/>
      <c r="W806" s="43"/>
      <c r="X806" s="24"/>
      <c r="Y806" s="24"/>
      <c r="Z806" s="24"/>
    </row>
    <row r="807" ht="14.2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43"/>
      <c r="V807" s="43"/>
      <c r="W807" s="43"/>
      <c r="X807" s="24"/>
      <c r="Y807" s="24"/>
      <c r="Z807" s="24"/>
    </row>
    <row r="808" ht="14.2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43"/>
      <c r="V808" s="43"/>
      <c r="W808" s="43"/>
      <c r="X808" s="24"/>
      <c r="Y808" s="24"/>
      <c r="Z808" s="24"/>
    </row>
    <row r="809" ht="14.2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43"/>
      <c r="V809" s="43"/>
      <c r="W809" s="43"/>
      <c r="X809" s="24"/>
      <c r="Y809" s="24"/>
      <c r="Z809" s="24"/>
    </row>
    <row r="810" ht="14.2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43"/>
      <c r="V810" s="43"/>
      <c r="W810" s="43"/>
      <c r="X810" s="24"/>
      <c r="Y810" s="24"/>
      <c r="Z810" s="24"/>
    </row>
    <row r="811" ht="14.2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43"/>
      <c r="V811" s="43"/>
      <c r="W811" s="43"/>
      <c r="X811" s="24"/>
      <c r="Y811" s="24"/>
      <c r="Z811" s="24"/>
    </row>
    <row r="812" ht="14.2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43"/>
      <c r="V812" s="43"/>
      <c r="W812" s="43"/>
      <c r="X812" s="24"/>
      <c r="Y812" s="24"/>
      <c r="Z812" s="24"/>
    </row>
    <row r="813" ht="14.2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43"/>
      <c r="V813" s="43"/>
      <c r="W813" s="43"/>
      <c r="X813" s="24"/>
      <c r="Y813" s="24"/>
      <c r="Z813" s="24"/>
    </row>
    <row r="814" ht="14.2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43"/>
      <c r="V814" s="43"/>
      <c r="W814" s="43"/>
      <c r="X814" s="24"/>
      <c r="Y814" s="24"/>
      <c r="Z814" s="24"/>
    </row>
    <row r="815" ht="14.2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43"/>
      <c r="V815" s="43"/>
      <c r="W815" s="43"/>
      <c r="X815" s="24"/>
      <c r="Y815" s="24"/>
      <c r="Z815" s="24"/>
    </row>
    <row r="816" ht="14.2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43"/>
      <c r="V816" s="43"/>
      <c r="W816" s="43"/>
      <c r="X816" s="24"/>
      <c r="Y816" s="24"/>
      <c r="Z816" s="24"/>
    </row>
    <row r="817" ht="14.2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43"/>
      <c r="V817" s="43"/>
      <c r="W817" s="43"/>
      <c r="X817" s="24"/>
      <c r="Y817" s="24"/>
      <c r="Z817" s="24"/>
    </row>
    <row r="818" ht="14.2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43"/>
      <c r="V818" s="43"/>
      <c r="W818" s="43"/>
      <c r="X818" s="24"/>
      <c r="Y818" s="24"/>
      <c r="Z818" s="24"/>
    </row>
    <row r="819" ht="14.2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43"/>
      <c r="V819" s="43"/>
      <c r="W819" s="43"/>
      <c r="X819" s="24"/>
      <c r="Y819" s="24"/>
      <c r="Z819" s="24"/>
    </row>
    <row r="820" ht="14.2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43"/>
      <c r="V820" s="43"/>
      <c r="W820" s="43"/>
      <c r="X820" s="24"/>
      <c r="Y820" s="24"/>
      <c r="Z820" s="24"/>
    </row>
    <row r="821" ht="14.2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43"/>
      <c r="V821" s="43"/>
      <c r="W821" s="43"/>
      <c r="X821" s="24"/>
      <c r="Y821" s="24"/>
      <c r="Z821" s="24"/>
    </row>
    <row r="822" ht="14.2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43"/>
      <c r="V822" s="43"/>
      <c r="W822" s="43"/>
      <c r="X822" s="24"/>
      <c r="Y822" s="24"/>
      <c r="Z822" s="24"/>
    </row>
    <row r="823" ht="14.2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43"/>
      <c r="V823" s="43"/>
      <c r="W823" s="43"/>
      <c r="X823" s="24"/>
      <c r="Y823" s="24"/>
      <c r="Z823" s="24"/>
    </row>
    <row r="824" ht="14.2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43"/>
      <c r="V824" s="43"/>
      <c r="W824" s="43"/>
      <c r="X824" s="24"/>
      <c r="Y824" s="24"/>
      <c r="Z824" s="24"/>
    </row>
    <row r="825" ht="14.2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43"/>
      <c r="V825" s="43"/>
      <c r="W825" s="43"/>
      <c r="X825" s="24"/>
      <c r="Y825" s="24"/>
      <c r="Z825" s="24"/>
    </row>
    <row r="826" ht="14.2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43"/>
      <c r="V826" s="43"/>
      <c r="W826" s="43"/>
      <c r="X826" s="24"/>
      <c r="Y826" s="24"/>
      <c r="Z826" s="24"/>
    </row>
    <row r="827" ht="14.2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43"/>
      <c r="V827" s="43"/>
      <c r="W827" s="43"/>
      <c r="X827" s="24"/>
      <c r="Y827" s="24"/>
      <c r="Z827" s="24"/>
    </row>
    <row r="828" ht="14.2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43"/>
      <c r="V828" s="43"/>
      <c r="W828" s="43"/>
      <c r="X828" s="24"/>
      <c r="Y828" s="24"/>
      <c r="Z828" s="24"/>
    </row>
    <row r="829" ht="14.2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43"/>
      <c r="V829" s="43"/>
      <c r="W829" s="43"/>
      <c r="X829" s="24"/>
      <c r="Y829" s="24"/>
      <c r="Z829" s="24"/>
    </row>
    <row r="830" ht="14.2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43"/>
      <c r="V830" s="43"/>
      <c r="W830" s="43"/>
      <c r="X830" s="24"/>
      <c r="Y830" s="24"/>
      <c r="Z830" s="24"/>
    </row>
    <row r="831" ht="14.2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43"/>
      <c r="V831" s="43"/>
      <c r="W831" s="43"/>
      <c r="X831" s="24"/>
      <c r="Y831" s="24"/>
      <c r="Z831" s="24"/>
    </row>
    <row r="832" ht="14.2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43"/>
      <c r="V832" s="43"/>
      <c r="W832" s="43"/>
      <c r="X832" s="24"/>
      <c r="Y832" s="24"/>
      <c r="Z832" s="24"/>
    </row>
    <row r="833" ht="14.2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43"/>
      <c r="V833" s="43"/>
      <c r="W833" s="43"/>
      <c r="X833" s="24"/>
      <c r="Y833" s="24"/>
      <c r="Z833" s="24"/>
    </row>
    <row r="834" ht="14.2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43"/>
      <c r="V834" s="43"/>
      <c r="W834" s="43"/>
      <c r="X834" s="24"/>
      <c r="Y834" s="24"/>
      <c r="Z834" s="24"/>
    </row>
    <row r="835" ht="14.2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43"/>
      <c r="V835" s="43"/>
      <c r="W835" s="43"/>
      <c r="X835" s="24"/>
      <c r="Y835" s="24"/>
      <c r="Z835" s="24"/>
    </row>
    <row r="836" ht="14.2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43"/>
      <c r="V836" s="43"/>
      <c r="W836" s="43"/>
      <c r="X836" s="24"/>
      <c r="Y836" s="24"/>
      <c r="Z836" s="24"/>
    </row>
    <row r="837" ht="14.2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43"/>
      <c r="V837" s="43"/>
      <c r="W837" s="43"/>
      <c r="X837" s="24"/>
      <c r="Y837" s="24"/>
      <c r="Z837" s="24"/>
    </row>
    <row r="838" ht="14.2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43"/>
      <c r="V838" s="43"/>
      <c r="W838" s="43"/>
      <c r="X838" s="24"/>
      <c r="Y838" s="24"/>
      <c r="Z838" s="24"/>
    </row>
    <row r="839" ht="14.2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43"/>
      <c r="V839" s="43"/>
      <c r="W839" s="43"/>
      <c r="X839" s="24"/>
      <c r="Y839" s="24"/>
      <c r="Z839" s="24"/>
    </row>
    <row r="840" ht="14.2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43"/>
      <c r="V840" s="43"/>
      <c r="W840" s="43"/>
      <c r="X840" s="24"/>
      <c r="Y840" s="24"/>
      <c r="Z840" s="24"/>
    </row>
    <row r="841" ht="14.2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43"/>
      <c r="V841" s="43"/>
      <c r="W841" s="43"/>
      <c r="X841" s="24"/>
      <c r="Y841" s="24"/>
      <c r="Z841" s="24"/>
    </row>
    <row r="842" ht="14.2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43"/>
      <c r="V842" s="43"/>
      <c r="W842" s="43"/>
      <c r="X842" s="24"/>
      <c r="Y842" s="24"/>
      <c r="Z842" s="24"/>
    </row>
    <row r="843" ht="14.2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43"/>
      <c r="V843" s="43"/>
      <c r="W843" s="43"/>
      <c r="X843" s="24"/>
      <c r="Y843" s="24"/>
      <c r="Z843" s="24"/>
    </row>
    <row r="844" ht="14.2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43"/>
      <c r="V844" s="43"/>
      <c r="W844" s="43"/>
      <c r="X844" s="24"/>
      <c r="Y844" s="24"/>
      <c r="Z844" s="24"/>
    </row>
    <row r="845" ht="14.2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43"/>
      <c r="V845" s="43"/>
      <c r="W845" s="43"/>
      <c r="X845" s="24"/>
      <c r="Y845" s="24"/>
      <c r="Z845" s="24"/>
    </row>
    <row r="846" ht="14.2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43"/>
      <c r="V846" s="43"/>
      <c r="W846" s="43"/>
      <c r="X846" s="24"/>
      <c r="Y846" s="24"/>
      <c r="Z846" s="24"/>
    </row>
    <row r="847" ht="14.2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43"/>
      <c r="V847" s="43"/>
      <c r="W847" s="43"/>
      <c r="X847" s="24"/>
      <c r="Y847" s="24"/>
      <c r="Z847" s="24"/>
    </row>
    <row r="848" ht="14.2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43"/>
      <c r="V848" s="43"/>
      <c r="W848" s="43"/>
      <c r="X848" s="24"/>
      <c r="Y848" s="24"/>
      <c r="Z848" s="24"/>
    </row>
    <row r="849" ht="14.2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43"/>
      <c r="V849" s="43"/>
      <c r="W849" s="43"/>
      <c r="X849" s="24"/>
      <c r="Y849" s="24"/>
      <c r="Z849" s="24"/>
    </row>
    <row r="850" ht="14.2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43"/>
      <c r="V850" s="43"/>
      <c r="W850" s="43"/>
      <c r="X850" s="24"/>
      <c r="Y850" s="24"/>
      <c r="Z850" s="24"/>
    </row>
    <row r="851" ht="14.2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43"/>
      <c r="V851" s="43"/>
      <c r="W851" s="43"/>
      <c r="X851" s="24"/>
      <c r="Y851" s="24"/>
      <c r="Z851" s="24"/>
    </row>
    <row r="852" ht="14.2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43"/>
      <c r="V852" s="43"/>
      <c r="W852" s="43"/>
      <c r="X852" s="24"/>
      <c r="Y852" s="24"/>
      <c r="Z852" s="24"/>
    </row>
    <row r="853" ht="14.2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43"/>
      <c r="V853" s="43"/>
      <c r="W853" s="43"/>
      <c r="X853" s="24"/>
      <c r="Y853" s="24"/>
      <c r="Z853" s="24"/>
    </row>
    <row r="854" ht="14.2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43"/>
      <c r="V854" s="43"/>
      <c r="W854" s="43"/>
      <c r="X854" s="24"/>
      <c r="Y854" s="24"/>
      <c r="Z854" s="24"/>
    </row>
    <row r="855" ht="14.2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43"/>
      <c r="V855" s="43"/>
      <c r="W855" s="43"/>
      <c r="X855" s="24"/>
      <c r="Y855" s="24"/>
      <c r="Z855" s="24"/>
    </row>
    <row r="856" ht="14.2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43"/>
      <c r="V856" s="43"/>
      <c r="W856" s="43"/>
      <c r="X856" s="24"/>
      <c r="Y856" s="24"/>
      <c r="Z856" s="24"/>
    </row>
    <row r="857" ht="14.2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43"/>
      <c r="V857" s="43"/>
      <c r="W857" s="43"/>
      <c r="X857" s="24"/>
      <c r="Y857" s="24"/>
      <c r="Z857" s="24"/>
    </row>
    <row r="858" ht="14.2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43"/>
      <c r="V858" s="43"/>
      <c r="W858" s="43"/>
      <c r="X858" s="24"/>
      <c r="Y858" s="24"/>
      <c r="Z858" s="24"/>
    </row>
    <row r="859" ht="14.2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43"/>
      <c r="V859" s="43"/>
      <c r="W859" s="43"/>
      <c r="X859" s="24"/>
      <c r="Y859" s="24"/>
      <c r="Z859" s="24"/>
    </row>
    <row r="860" ht="14.2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43"/>
      <c r="V860" s="43"/>
      <c r="W860" s="43"/>
      <c r="X860" s="24"/>
      <c r="Y860" s="24"/>
      <c r="Z860" s="24"/>
    </row>
    <row r="861" ht="14.2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43"/>
      <c r="V861" s="43"/>
      <c r="W861" s="43"/>
      <c r="X861" s="24"/>
      <c r="Y861" s="24"/>
      <c r="Z861" s="24"/>
    </row>
    <row r="862" ht="14.2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43"/>
      <c r="V862" s="43"/>
      <c r="W862" s="43"/>
      <c r="X862" s="24"/>
      <c r="Y862" s="24"/>
      <c r="Z862" s="24"/>
    </row>
    <row r="863" ht="14.2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43"/>
      <c r="V863" s="43"/>
      <c r="W863" s="43"/>
      <c r="X863" s="24"/>
      <c r="Y863" s="24"/>
      <c r="Z863" s="24"/>
    </row>
    <row r="864" ht="14.2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43"/>
      <c r="V864" s="43"/>
      <c r="W864" s="43"/>
      <c r="X864" s="24"/>
      <c r="Y864" s="24"/>
      <c r="Z864" s="24"/>
    </row>
    <row r="865" ht="14.2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43"/>
      <c r="V865" s="43"/>
      <c r="W865" s="43"/>
      <c r="X865" s="24"/>
      <c r="Y865" s="24"/>
      <c r="Z865" s="24"/>
    </row>
    <row r="866" ht="14.2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43"/>
      <c r="V866" s="43"/>
      <c r="W866" s="43"/>
      <c r="X866" s="24"/>
      <c r="Y866" s="24"/>
      <c r="Z866" s="24"/>
    </row>
    <row r="867" ht="14.2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43"/>
      <c r="V867" s="43"/>
      <c r="W867" s="43"/>
      <c r="X867" s="24"/>
      <c r="Y867" s="24"/>
      <c r="Z867" s="24"/>
    </row>
    <row r="868" ht="14.2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43"/>
      <c r="V868" s="43"/>
      <c r="W868" s="43"/>
      <c r="X868" s="24"/>
      <c r="Y868" s="24"/>
      <c r="Z868" s="24"/>
    </row>
    <row r="869" ht="14.2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43"/>
      <c r="V869" s="43"/>
      <c r="W869" s="43"/>
      <c r="X869" s="24"/>
      <c r="Y869" s="24"/>
      <c r="Z869" s="24"/>
    </row>
    <row r="870" ht="14.2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43"/>
      <c r="V870" s="43"/>
      <c r="W870" s="43"/>
      <c r="X870" s="24"/>
      <c r="Y870" s="24"/>
      <c r="Z870" s="24"/>
    </row>
    <row r="871" ht="14.2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43"/>
      <c r="V871" s="43"/>
      <c r="W871" s="43"/>
      <c r="X871" s="24"/>
      <c r="Y871" s="24"/>
      <c r="Z871" s="24"/>
    </row>
    <row r="872" ht="14.2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43"/>
      <c r="V872" s="43"/>
      <c r="W872" s="43"/>
      <c r="X872" s="24"/>
      <c r="Y872" s="24"/>
      <c r="Z872" s="24"/>
    </row>
    <row r="873" ht="14.2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43"/>
      <c r="V873" s="43"/>
      <c r="W873" s="43"/>
      <c r="X873" s="24"/>
      <c r="Y873" s="24"/>
      <c r="Z873" s="24"/>
    </row>
    <row r="874" ht="14.2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43"/>
      <c r="V874" s="43"/>
      <c r="W874" s="43"/>
      <c r="X874" s="24"/>
      <c r="Y874" s="24"/>
      <c r="Z874" s="24"/>
    </row>
    <row r="875" ht="14.2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43"/>
      <c r="V875" s="43"/>
      <c r="W875" s="43"/>
      <c r="X875" s="24"/>
      <c r="Y875" s="24"/>
      <c r="Z875" s="24"/>
    </row>
    <row r="876" ht="14.2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43"/>
      <c r="V876" s="43"/>
      <c r="W876" s="43"/>
      <c r="X876" s="24"/>
      <c r="Y876" s="24"/>
      <c r="Z876" s="24"/>
    </row>
    <row r="877" ht="14.2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43"/>
      <c r="V877" s="43"/>
      <c r="W877" s="43"/>
      <c r="X877" s="24"/>
      <c r="Y877" s="24"/>
      <c r="Z877" s="24"/>
    </row>
    <row r="878" ht="14.2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43"/>
      <c r="V878" s="43"/>
      <c r="W878" s="43"/>
      <c r="X878" s="24"/>
      <c r="Y878" s="24"/>
      <c r="Z878" s="24"/>
    </row>
    <row r="879" ht="14.2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43"/>
      <c r="V879" s="43"/>
      <c r="W879" s="43"/>
      <c r="X879" s="24"/>
      <c r="Y879" s="24"/>
      <c r="Z879" s="24"/>
    </row>
    <row r="880" ht="14.2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43"/>
      <c r="V880" s="43"/>
      <c r="W880" s="43"/>
      <c r="X880" s="24"/>
      <c r="Y880" s="24"/>
      <c r="Z880" s="24"/>
    </row>
    <row r="881" ht="14.2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43"/>
      <c r="V881" s="43"/>
      <c r="W881" s="43"/>
      <c r="X881" s="24"/>
      <c r="Y881" s="24"/>
      <c r="Z881" s="24"/>
    </row>
    <row r="882" ht="14.2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43"/>
      <c r="V882" s="43"/>
      <c r="W882" s="43"/>
      <c r="X882" s="24"/>
      <c r="Y882" s="24"/>
      <c r="Z882" s="24"/>
    </row>
    <row r="883" ht="14.2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43"/>
      <c r="V883" s="43"/>
      <c r="W883" s="43"/>
      <c r="X883" s="24"/>
      <c r="Y883" s="24"/>
      <c r="Z883" s="24"/>
    </row>
    <row r="884" ht="14.2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43"/>
      <c r="V884" s="43"/>
      <c r="W884" s="43"/>
      <c r="X884" s="24"/>
      <c r="Y884" s="24"/>
      <c r="Z884" s="24"/>
    </row>
    <row r="885" ht="14.2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43"/>
      <c r="V885" s="43"/>
      <c r="W885" s="43"/>
      <c r="X885" s="24"/>
      <c r="Y885" s="24"/>
      <c r="Z885" s="24"/>
    </row>
    <row r="886" ht="14.2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43"/>
      <c r="V886" s="43"/>
      <c r="W886" s="43"/>
      <c r="X886" s="24"/>
      <c r="Y886" s="24"/>
      <c r="Z886" s="24"/>
    </row>
    <row r="887" ht="14.2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43"/>
      <c r="V887" s="43"/>
      <c r="W887" s="43"/>
      <c r="X887" s="24"/>
      <c r="Y887" s="24"/>
      <c r="Z887" s="24"/>
    </row>
    <row r="888" ht="14.2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43"/>
      <c r="V888" s="43"/>
      <c r="W888" s="43"/>
      <c r="X888" s="24"/>
      <c r="Y888" s="24"/>
      <c r="Z888" s="24"/>
    </row>
    <row r="889" ht="14.2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43"/>
      <c r="V889" s="43"/>
      <c r="W889" s="43"/>
      <c r="X889" s="24"/>
      <c r="Y889" s="24"/>
      <c r="Z889" s="24"/>
    </row>
    <row r="890" ht="14.2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43"/>
      <c r="V890" s="43"/>
      <c r="W890" s="43"/>
      <c r="X890" s="24"/>
      <c r="Y890" s="24"/>
      <c r="Z890" s="24"/>
    </row>
    <row r="891" ht="14.2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43"/>
      <c r="V891" s="43"/>
      <c r="W891" s="43"/>
      <c r="X891" s="24"/>
      <c r="Y891" s="24"/>
      <c r="Z891" s="24"/>
    </row>
    <row r="892" ht="14.2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43"/>
      <c r="V892" s="43"/>
      <c r="W892" s="43"/>
      <c r="X892" s="24"/>
      <c r="Y892" s="24"/>
      <c r="Z892" s="24"/>
    </row>
    <row r="893" ht="14.2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43"/>
      <c r="V893" s="43"/>
      <c r="W893" s="43"/>
      <c r="X893" s="24"/>
      <c r="Y893" s="24"/>
      <c r="Z893" s="24"/>
    </row>
    <row r="894" ht="14.2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43"/>
      <c r="V894" s="43"/>
      <c r="W894" s="43"/>
      <c r="X894" s="24"/>
      <c r="Y894" s="24"/>
      <c r="Z894" s="24"/>
    </row>
    <row r="895" ht="14.2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43"/>
      <c r="V895" s="43"/>
      <c r="W895" s="43"/>
      <c r="X895" s="24"/>
      <c r="Y895" s="24"/>
      <c r="Z895" s="24"/>
    </row>
    <row r="896" ht="14.2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43"/>
      <c r="V896" s="43"/>
      <c r="W896" s="43"/>
      <c r="X896" s="24"/>
      <c r="Y896" s="24"/>
      <c r="Z896" s="24"/>
    </row>
    <row r="897" ht="14.2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43"/>
      <c r="V897" s="43"/>
      <c r="W897" s="43"/>
      <c r="X897" s="24"/>
      <c r="Y897" s="24"/>
      <c r="Z897" s="24"/>
    </row>
    <row r="898" ht="14.2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43"/>
      <c r="V898" s="43"/>
      <c r="W898" s="43"/>
      <c r="X898" s="24"/>
      <c r="Y898" s="24"/>
      <c r="Z898" s="24"/>
    </row>
    <row r="899" ht="14.2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43"/>
      <c r="V899" s="43"/>
      <c r="W899" s="43"/>
      <c r="X899" s="24"/>
      <c r="Y899" s="24"/>
      <c r="Z899" s="24"/>
    </row>
    <row r="900" ht="14.2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43"/>
      <c r="V900" s="43"/>
      <c r="W900" s="43"/>
      <c r="X900" s="24"/>
      <c r="Y900" s="24"/>
      <c r="Z900" s="24"/>
    </row>
    <row r="901" ht="14.2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43"/>
      <c r="V901" s="43"/>
      <c r="W901" s="43"/>
      <c r="X901" s="24"/>
      <c r="Y901" s="24"/>
      <c r="Z901" s="24"/>
    </row>
    <row r="902" ht="14.2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43"/>
      <c r="V902" s="43"/>
      <c r="W902" s="43"/>
      <c r="X902" s="24"/>
      <c r="Y902" s="24"/>
      <c r="Z902" s="24"/>
    </row>
    <row r="903" ht="14.2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43"/>
      <c r="V903" s="43"/>
      <c r="W903" s="43"/>
      <c r="X903" s="24"/>
      <c r="Y903" s="24"/>
      <c r="Z903" s="24"/>
    </row>
    <row r="904" ht="14.2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43"/>
      <c r="V904" s="43"/>
      <c r="W904" s="43"/>
      <c r="X904" s="24"/>
      <c r="Y904" s="24"/>
      <c r="Z904" s="24"/>
    </row>
    <row r="905" ht="14.2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43"/>
      <c r="V905" s="43"/>
      <c r="W905" s="43"/>
      <c r="X905" s="24"/>
      <c r="Y905" s="24"/>
      <c r="Z905" s="24"/>
    </row>
    <row r="906" ht="14.2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43"/>
      <c r="V906" s="43"/>
      <c r="W906" s="43"/>
      <c r="X906" s="24"/>
      <c r="Y906" s="24"/>
      <c r="Z906" s="24"/>
    </row>
    <row r="907" ht="14.2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43"/>
      <c r="V907" s="43"/>
      <c r="W907" s="43"/>
      <c r="X907" s="24"/>
      <c r="Y907" s="24"/>
      <c r="Z907" s="24"/>
    </row>
    <row r="908" ht="14.2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43"/>
      <c r="V908" s="43"/>
      <c r="W908" s="43"/>
      <c r="X908" s="24"/>
      <c r="Y908" s="24"/>
      <c r="Z908" s="24"/>
    </row>
    <row r="909" ht="14.2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43"/>
      <c r="V909" s="43"/>
      <c r="W909" s="43"/>
      <c r="X909" s="24"/>
      <c r="Y909" s="24"/>
      <c r="Z909" s="24"/>
    </row>
    <row r="910" ht="14.2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43"/>
      <c r="V910" s="43"/>
      <c r="W910" s="43"/>
      <c r="X910" s="24"/>
      <c r="Y910" s="24"/>
      <c r="Z910" s="24"/>
    </row>
    <row r="911" ht="14.2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43"/>
      <c r="V911" s="43"/>
      <c r="W911" s="43"/>
      <c r="X911" s="24"/>
      <c r="Y911" s="24"/>
      <c r="Z911" s="24"/>
    </row>
    <row r="912" ht="14.2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43"/>
      <c r="V912" s="43"/>
      <c r="W912" s="43"/>
      <c r="X912" s="24"/>
      <c r="Y912" s="24"/>
      <c r="Z912" s="24"/>
    </row>
    <row r="913" ht="14.2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43"/>
      <c r="V913" s="43"/>
      <c r="W913" s="43"/>
      <c r="X913" s="24"/>
      <c r="Y913" s="24"/>
      <c r="Z913" s="24"/>
    </row>
    <row r="914" ht="14.2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43"/>
      <c r="V914" s="43"/>
      <c r="W914" s="43"/>
      <c r="X914" s="24"/>
      <c r="Y914" s="24"/>
      <c r="Z914" s="24"/>
    </row>
    <row r="915" ht="14.2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43"/>
      <c r="V915" s="43"/>
      <c r="W915" s="43"/>
      <c r="X915" s="24"/>
      <c r="Y915" s="24"/>
      <c r="Z915" s="24"/>
    </row>
    <row r="916" ht="14.2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43"/>
      <c r="V916" s="43"/>
      <c r="W916" s="43"/>
      <c r="X916" s="24"/>
      <c r="Y916" s="24"/>
      <c r="Z916" s="24"/>
    </row>
    <row r="917" ht="14.2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43"/>
      <c r="V917" s="43"/>
      <c r="W917" s="43"/>
      <c r="X917" s="24"/>
      <c r="Y917" s="24"/>
      <c r="Z917" s="24"/>
    </row>
    <row r="918" ht="14.2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43"/>
      <c r="V918" s="43"/>
      <c r="W918" s="43"/>
      <c r="X918" s="24"/>
      <c r="Y918" s="24"/>
      <c r="Z918" s="24"/>
    </row>
    <row r="919" ht="14.2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43"/>
      <c r="V919" s="43"/>
      <c r="W919" s="43"/>
      <c r="X919" s="24"/>
      <c r="Y919" s="24"/>
      <c r="Z919" s="24"/>
    </row>
    <row r="920" ht="14.2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43"/>
      <c r="V920" s="43"/>
      <c r="W920" s="43"/>
      <c r="X920" s="24"/>
      <c r="Y920" s="24"/>
      <c r="Z920" s="24"/>
    </row>
    <row r="921" ht="14.2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43"/>
      <c r="V921" s="43"/>
      <c r="W921" s="43"/>
      <c r="X921" s="24"/>
      <c r="Y921" s="24"/>
      <c r="Z921" s="24"/>
    </row>
    <row r="922" ht="14.2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43"/>
      <c r="V922" s="43"/>
      <c r="W922" s="43"/>
      <c r="X922" s="24"/>
      <c r="Y922" s="24"/>
      <c r="Z922" s="24"/>
    </row>
    <row r="923" ht="14.2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43"/>
      <c r="V923" s="43"/>
      <c r="W923" s="43"/>
      <c r="X923" s="24"/>
      <c r="Y923" s="24"/>
      <c r="Z923" s="24"/>
    </row>
    <row r="924" ht="14.2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43"/>
      <c r="V924" s="43"/>
      <c r="W924" s="43"/>
      <c r="X924" s="24"/>
      <c r="Y924" s="24"/>
      <c r="Z924" s="24"/>
    </row>
    <row r="925" ht="14.2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43"/>
      <c r="V925" s="43"/>
      <c r="W925" s="43"/>
      <c r="X925" s="24"/>
      <c r="Y925" s="24"/>
      <c r="Z925" s="24"/>
    </row>
    <row r="926" ht="14.2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43"/>
      <c r="V926" s="43"/>
      <c r="W926" s="43"/>
      <c r="X926" s="24"/>
      <c r="Y926" s="24"/>
      <c r="Z926" s="24"/>
    </row>
    <row r="927" ht="14.2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43"/>
      <c r="V927" s="43"/>
      <c r="W927" s="43"/>
      <c r="X927" s="24"/>
      <c r="Y927" s="24"/>
      <c r="Z927" s="24"/>
    </row>
    <row r="928" ht="14.2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43"/>
      <c r="V928" s="43"/>
      <c r="W928" s="43"/>
      <c r="X928" s="24"/>
      <c r="Y928" s="24"/>
      <c r="Z928" s="24"/>
    </row>
    <row r="929" ht="14.2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43"/>
      <c r="V929" s="43"/>
      <c r="W929" s="43"/>
      <c r="X929" s="24"/>
      <c r="Y929" s="24"/>
      <c r="Z929" s="24"/>
    </row>
    <row r="930" ht="14.2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43"/>
      <c r="V930" s="43"/>
      <c r="W930" s="43"/>
      <c r="X930" s="24"/>
      <c r="Y930" s="24"/>
      <c r="Z930" s="24"/>
    </row>
    <row r="931" ht="14.2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43"/>
      <c r="V931" s="43"/>
      <c r="W931" s="43"/>
      <c r="X931" s="24"/>
      <c r="Y931" s="24"/>
      <c r="Z931" s="24"/>
    </row>
    <row r="932" ht="14.2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43"/>
      <c r="V932" s="43"/>
      <c r="W932" s="43"/>
      <c r="X932" s="24"/>
      <c r="Y932" s="24"/>
      <c r="Z932" s="24"/>
    </row>
    <row r="933" ht="14.2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43"/>
      <c r="V933" s="43"/>
      <c r="W933" s="43"/>
      <c r="X933" s="24"/>
      <c r="Y933" s="24"/>
      <c r="Z933" s="24"/>
    </row>
    <row r="934" ht="14.2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43"/>
      <c r="V934" s="43"/>
      <c r="W934" s="43"/>
      <c r="X934" s="24"/>
      <c r="Y934" s="24"/>
      <c r="Z934" s="24"/>
    </row>
    <row r="935" ht="14.2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43"/>
      <c r="V935" s="43"/>
      <c r="W935" s="43"/>
      <c r="X935" s="24"/>
      <c r="Y935" s="24"/>
      <c r="Z935" s="24"/>
    </row>
    <row r="936" ht="14.2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43"/>
      <c r="V936" s="43"/>
      <c r="W936" s="43"/>
      <c r="X936" s="24"/>
      <c r="Y936" s="24"/>
      <c r="Z936" s="24"/>
    </row>
    <row r="937" ht="14.2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43"/>
      <c r="V937" s="43"/>
      <c r="W937" s="43"/>
      <c r="X937" s="24"/>
      <c r="Y937" s="24"/>
      <c r="Z937" s="24"/>
    </row>
    <row r="938" ht="14.2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43"/>
      <c r="V938" s="43"/>
      <c r="W938" s="43"/>
      <c r="X938" s="24"/>
      <c r="Y938" s="24"/>
      <c r="Z938" s="24"/>
    </row>
    <row r="939" ht="14.2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43"/>
      <c r="V939" s="43"/>
      <c r="W939" s="43"/>
      <c r="X939" s="24"/>
      <c r="Y939" s="24"/>
      <c r="Z939" s="24"/>
    </row>
    <row r="940" ht="14.2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43"/>
      <c r="V940" s="43"/>
      <c r="W940" s="43"/>
      <c r="X940" s="24"/>
      <c r="Y940" s="24"/>
      <c r="Z940" s="24"/>
    </row>
    <row r="941" ht="14.2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43"/>
      <c r="V941" s="43"/>
      <c r="W941" s="43"/>
      <c r="X941" s="24"/>
      <c r="Y941" s="24"/>
      <c r="Z941" s="24"/>
    </row>
    <row r="942" ht="14.2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43"/>
      <c r="V942" s="43"/>
      <c r="W942" s="43"/>
      <c r="X942" s="24"/>
      <c r="Y942" s="24"/>
      <c r="Z942" s="24"/>
    </row>
    <row r="943" ht="14.2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43"/>
      <c r="V943" s="43"/>
      <c r="W943" s="43"/>
      <c r="X943" s="24"/>
      <c r="Y943" s="24"/>
      <c r="Z943" s="24"/>
    </row>
    <row r="944" ht="14.2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43"/>
      <c r="V944" s="43"/>
      <c r="W944" s="43"/>
      <c r="X944" s="24"/>
      <c r="Y944" s="24"/>
      <c r="Z944" s="24"/>
    </row>
    <row r="945" ht="14.2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43"/>
      <c r="V945" s="43"/>
      <c r="W945" s="43"/>
      <c r="X945" s="24"/>
      <c r="Y945" s="24"/>
      <c r="Z945" s="24"/>
    </row>
    <row r="946" ht="14.2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43"/>
      <c r="V946" s="43"/>
      <c r="W946" s="43"/>
      <c r="X946" s="24"/>
      <c r="Y946" s="24"/>
      <c r="Z946" s="24"/>
    </row>
    <row r="947" ht="14.2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43"/>
      <c r="V947" s="43"/>
      <c r="W947" s="43"/>
      <c r="X947" s="24"/>
      <c r="Y947" s="24"/>
      <c r="Z947" s="24"/>
    </row>
    <row r="948" ht="14.2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43"/>
      <c r="V948" s="43"/>
      <c r="W948" s="43"/>
      <c r="X948" s="24"/>
      <c r="Y948" s="24"/>
      <c r="Z948" s="24"/>
    </row>
    <row r="949" ht="14.2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43"/>
      <c r="V949" s="43"/>
      <c r="W949" s="43"/>
      <c r="X949" s="24"/>
      <c r="Y949" s="24"/>
      <c r="Z949" s="24"/>
    </row>
    <row r="950" ht="14.2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43"/>
      <c r="V950" s="43"/>
      <c r="W950" s="43"/>
      <c r="X950" s="24"/>
      <c r="Y950" s="24"/>
      <c r="Z950" s="24"/>
    </row>
    <row r="951" ht="14.2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43"/>
      <c r="V951" s="43"/>
      <c r="W951" s="43"/>
      <c r="X951" s="24"/>
      <c r="Y951" s="24"/>
      <c r="Z951" s="24"/>
    </row>
    <row r="952" ht="14.2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43"/>
      <c r="V952" s="43"/>
      <c r="W952" s="43"/>
      <c r="X952" s="24"/>
      <c r="Y952" s="24"/>
      <c r="Z952" s="24"/>
    </row>
    <row r="953" ht="14.2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43"/>
      <c r="V953" s="43"/>
      <c r="W953" s="43"/>
      <c r="X953" s="24"/>
      <c r="Y953" s="24"/>
      <c r="Z953" s="24"/>
    </row>
    <row r="954" ht="14.2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43"/>
      <c r="V954" s="43"/>
      <c r="W954" s="43"/>
      <c r="X954" s="24"/>
      <c r="Y954" s="24"/>
      <c r="Z954" s="24"/>
    </row>
    <row r="955" ht="14.2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43"/>
      <c r="V955" s="43"/>
      <c r="W955" s="43"/>
      <c r="X955" s="24"/>
      <c r="Y955" s="24"/>
      <c r="Z955" s="24"/>
    </row>
    <row r="956" ht="14.2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43"/>
      <c r="V956" s="43"/>
      <c r="W956" s="43"/>
      <c r="X956" s="24"/>
      <c r="Y956" s="24"/>
      <c r="Z956" s="24"/>
    </row>
    <row r="957" ht="14.2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43"/>
      <c r="V957" s="43"/>
      <c r="W957" s="43"/>
      <c r="X957" s="24"/>
      <c r="Y957" s="24"/>
      <c r="Z957" s="24"/>
    </row>
    <row r="958" ht="14.2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43"/>
      <c r="V958" s="43"/>
      <c r="W958" s="43"/>
      <c r="X958" s="24"/>
      <c r="Y958" s="24"/>
      <c r="Z958" s="24"/>
    </row>
    <row r="959" ht="14.2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43"/>
      <c r="V959" s="43"/>
      <c r="W959" s="43"/>
      <c r="X959" s="24"/>
      <c r="Y959" s="24"/>
      <c r="Z959" s="24"/>
    </row>
    <row r="960" ht="14.2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43"/>
      <c r="V960" s="43"/>
      <c r="W960" s="43"/>
      <c r="X960" s="24"/>
      <c r="Y960" s="24"/>
      <c r="Z960" s="24"/>
    </row>
    <row r="961" ht="14.2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43"/>
      <c r="V961" s="43"/>
      <c r="W961" s="43"/>
      <c r="X961" s="24"/>
      <c r="Y961" s="24"/>
      <c r="Z961" s="24"/>
    </row>
    <row r="962" ht="14.2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43"/>
      <c r="V962" s="43"/>
      <c r="W962" s="43"/>
      <c r="X962" s="24"/>
      <c r="Y962" s="24"/>
      <c r="Z962" s="24"/>
    </row>
    <row r="963" ht="14.2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43"/>
      <c r="V963" s="43"/>
      <c r="W963" s="43"/>
      <c r="X963" s="24"/>
      <c r="Y963" s="24"/>
      <c r="Z963" s="24"/>
    </row>
    <row r="964" ht="14.2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43"/>
      <c r="V964" s="43"/>
      <c r="W964" s="43"/>
      <c r="X964" s="24"/>
      <c r="Y964" s="24"/>
      <c r="Z964" s="24"/>
    </row>
    <row r="965" ht="14.2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43"/>
      <c r="V965" s="43"/>
      <c r="W965" s="43"/>
      <c r="X965" s="24"/>
      <c r="Y965" s="24"/>
      <c r="Z965" s="24"/>
    </row>
    <row r="966" ht="14.2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43"/>
      <c r="V966" s="43"/>
      <c r="W966" s="43"/>
      <c r="X966" s="24"/>
      <c r="Y966" s="24"/>
      <c r="Z966" s="24"/>
    </row>
    <row r="967" ht="14.2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43"/>
      <c r="V967" s="43"/>
      <c r="W967" s="43"/>
      <c r="X967" s="24"/>
      <c r="Y967" s="24"/>
      <c r="Z967" s="24"/>
    </row>
    <row r="968" ht="14.2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43"/>
      <c r="V968" s="43"/>
      <c r="W968" s="43"/>
      <c r="X968" s="24"/>
      <c r="Y968" s="24"/>
      <c r="Z968" s="24"/>
    </row>
    <row r="969" ht="14.2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43"/>
      <c r="V969" s="43"/>
      <c r="W969" s="43"/>
      <c r="X969" s="24"/>
      <c r="Y969" s="24"/>
      <c r="Z969" s="24"/>
    </row>
    <row r="970" ht="14.2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43"/>
      <c r="V970" s="43"/>
      <c r="W970" s="43"/>
      <c r="X970" s="24"/>
      <c r="Y970" s="24"/>
      <c r="Z970" s="24"/>
    </row>
    <row r="971" ht="14.2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43"/>
      <c r="V971" s="43"/>
      <c r="W971" s="43"/>
      <c r="X971" s="24"/>
      <c r="Y971" s="24"/>
      <c r="Z971" s="24"/>
    </row>
    <row r="972" ht="14.2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43"/>
      <c r="V972" s="43"/>
      <c r="W972" s="43"/>
      <c r="X972" s="24"/>
      <c r="Y972" s="24"/>
      <c r="Z972" s="24"/>
    </row>
    <row r="973" ht="14.2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43"/>
      <c r="V973" s="43"/>
      <c r="W973" s="43"/>
      <c r="X973" s="24"/>
      <c r="Y973" s="24"/>
      <c r="Z973" s="24"/>
    </row>
    <row r="974" ht="14.2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43"/>
      <c r="V974" s="43"/>
      <c r="W974" s="43"/>
      <c r="X974" s="24"/>
      <c r="Y974" s="24"/>
      <c r="Z974" s="24"/>
    </row>
    <row r="975" ht="14.2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43"/>
      <c r="V975" s="43"/>
      <c r="W975" s="43"/>
      <c r="X975" s="24"/>
      <c r="Y975" s="24"/>
      <c r="Z975" s="24"/>
    </row>
    <row r="976" ht="14.2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43"/>
      <c r="V976" s="43"/>
      <c r="W976" s="43"/>
      <c r="X976" s="24"/>
      <c r="Y976" s="24"/>
      <c r="Z976" s="24"/>
    </row>
    <row r="977" ht="14.2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43"/>
      <c r="V977" s="43"/>
      <c r="W977" s="43"/>
      <c r="X977" s="24"/>
      <c r="Y977" s="24"/>
      <c r="Z977" s="24"/>
    </row>
    <row r="978" ht="14.2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43"/>
      <c r="V978" s="43"/>
      <c r="W978" s="43"/>
      <c r="X978" s="24"/>
      <c r="Y978" s="24"/>
      <c r="Z978" s="24"/>
    </row>
    <row r="979" ht="14.2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43"/>
      <c r="V979" s="43"/>
      <c r="W979" s="43"/>
      <c r="X979" s="24"/>
      <c r="Y979" s="24"/>
      <c r="Z979" s="24"/>
    </row>
    <row r="980" ht="14.2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43"/>
      <c r="V980" s="43"/>
      <c r="W980" s="43"/>
      <c r="X980" s="24"/>
      <c r="Y980" s="24"/>
      <c r="Z980" s="24"/>
    </row>
    <row r="981" ht="14.2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43"/>
      <c r="V981" s="43"/>
      <c r="W981" s="43"/>
      <c r="X981" s="24"/>
      <c r="Y981" s="24"/>
      <c r="Z981" s="24"/>
    </row>
    <row r="982" ht="14.2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43"/>
      <c r="V982" s="43"/>
      <c r="W982" s="43"/>
      <c r="X982" s="24"/>
      <c r="Y982" s="24"/>
      <c r="Z982" s="24"/>
    </row>
    <row r="983" ht="14.2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43"/>
      <c r="V983" s="43"/>
      <c r="W983" s="43"/>
      <c r="X983" s="24"/>
      <c r="Y983" s="24"/>
      <c r="Z983" s="24"/>
    </row>
    <row r="984" ht="14.2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43"/>
      <c r="V984" s="43"/>
      <c r="W984" s="43"/>
      <c r="X984" s="24"/>
      <c r="Y984" s="24"/>
      <c r="Z984" s="24"/>
    </row>
    <row r="985" ht="14.2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43"/>
      <c r="V985" s="43"/>
      <c r="W985" s="43"/>
      <c r="X985" s="24"/>
      <c r="Y985" s="24"/>
      <c r="Z985" s="24"/>
    </row>
    <row r="986" ht="14.2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43"/>
      <c r="V986" s="43"/>
      <c r="W986" s="43"/>
      <c r="X986" s="24"/>
      <c r="Y986" s="24"/>
      <c r="Z986" s="24"/>
    </row>
    <row r="987" ht="14.2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43"/>
      <c r="V987" s="43"/>
      <c r="W987" s="43"/>
      <c r="X987" s="24"/>
      <c r="Y987" s="24"/>
      <c r="Z987" s="24"/>
    </row>
    <row r="988" ht="14.2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43"/>
      <c r="V988" s="43"/>
      <c r="W988" s="43"/>
      <c r="X988" s="24"/>
      <c r="Y988" s="24"/>
      <c r="Z988" s="24"/>
    </row>
    <row r="989" ht="14.2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43"/>
      <c r="V989" s="43"/>
      <c r="W989" s="43"/>
      <c r="X989" s="24"/>
      <c r="Y989" s="24"/>
      <c r="Z989" s="24"/>
    </row>
    <row r="990" ht="14.2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43"/>
      <c r="V990" s="43"/>
      <c r="W990" s="43"/>
      <c r="X990" s="24"/>
      <c r="Y990" s="24"/>
      <c r="Z990" s="24"/>
    </row>
    <row r="991" ht="14.2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43"/>
      <c r="V991" s="43"/>
      <c r="W991" s="43"/>
      <c r="X991" s="24"/>
      <c r="Y991" s="24"/>
      <c r="Z991" s="24"/>
    </row>
    <row r="992" ht="14.2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43"/>
      <c r="V992" s="43"/>
      <c r="W992" s="43"/>
      <c r="X992" s="24"/>
      <c r="Y992" s="24"/>
      <c r="Z992" s="24"/>
    </row>
    <row r="993" ht="14.2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43"/>
      <c r="V993" s="43"/>
      <c r="W993" s="43"/>
      <c r="X993" s="24"/>
      <c r="Y993" s="24"/>
      <c r="Z993" s="24"/>
    </row>
    <row r="994" ht="14.2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43"/>
      <c r="V994" s="43"/>
      <c r="W994" s="43"/>
      <c r="X994" s="24"/>
      <c r="Y994" s="24"/>
      <c r="Z994" s="24"/>
    </row>
    <row r="995" ht="14.2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43"/>
      <c r="V995" s="43"/>
      <c r="W995" s="43"/>
      <c r="X995" s="24"/>
      <c r="Y995" s="24"/>
      <c r="Z995" s="24"/>
    </row>
    <row r="996" ht="14.2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43"/>
      <c r="V996" s="43"/>
      <c r="W996" s="43"/>
      <c r="X996" s="24"/>
      <c r="Y996" s="24"/>
      <c r="Z996" s="24"/>
    </row>
    <row r="997" ht="14.2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43"/>
      <c r="V997" s="43"/>
      <c r="W997" s="43"/>
      <c r="X997" s="24"/>
      <c r="Y997" s="24"/>
      <c r="Z997" s="24"/>
    </row>
    <row r="998" ht="14.2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43"/>
      <c r="V998" s="43"/>
      <c r="W998" s="43"/>
      <c r="X998" s="24"/>
      <c r="Y998" s="24"/>
      <c r="Z998" s="24"/>
    </row>
    <row r="999" ht="14.2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43"/>
      <c r="V999" s="43"/>
      <c r="W999" s="43"/>
      <c r="X999" s="24"/>
      <c r="Y999" s="24"/>
      <c r="Z999" s="24"/>
    </row>
    <row r="1000" ht="14.2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43"/>
      <c r="V1000" s="43"/>
      <c r="W1000" s="43"/>
      <c r="X1000" s="24"/>
      <c r="Y1000" s="24"/>
      <c r="Z1000" s="2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Row="2"/>
  <cols>
    <col customWidth="1" min="1" max="1" width="23.13"/>
    <col customWidth="1" min="2" max="2" width="11.5"/>
    <col customWidth="1" min="3" max="3" width="14.88"/>
    <col customWidth="1" min="4" max="6" width="11.5"/>
    <col customWidth="1" min="7" max="7" width="39.13"/>
    <col customWidth="1" min="8" max="10" width="11.63"/>
    <col customWidth="1" min="11" max="11" width="8.88"/>
    <col customWidth="1" min="12" max="26" width="8.63"/>
  </cols>
  <sheetData>
    <row r="1" ht="14.25" customHeight="1">
      <c r="A1" s="4" t="s">
        <v>3</v>
      </c>
    </row>
    <row r="2" ht="14.25" customHeight="1"/>
    <row r="3" ht="14.25" customHeight="1">
      <c r="A3" s="6" t="s">
        <v>8</v>
      </c>
      <c r="B3" s="8" t="s">
        <v>11</v>
      </c>
      <c r="C3" s="8" t="s">
        <v>15</v>
      </c>
      <c r="D3" s="10" t="s">
        <v>17</v>
      </c>
      <c r="E3" s="10"/>
      <c r="G3" s="12" t="s">
        <v>25</v>
      </c>
      <c r="H3" s="13" t="s">
        <v>29</v>
      </c>
      <c r="I3" s="13" t="s">
        <v>33</v>
      </c>
      <c r="J3" s="13" t="s">
        <v>35</v>
      </c>
    </row>
    <row r="4" ht="28.5" customHeight="1">
      <c r="A4" s="14" t="s">
        <v>38</v>
      </c>
      <c r="B4" s="23">
        <f>NPC!S2</f>
        <v>9647004.49</v>
      </c>
      <c r="C4" s="23">
        <f t="shared" ref="C4:C5" si="1">I4</f>
        <v>10129000</v>
      </c>
      <c r="D4" s="23">
        <f t="shared" ref="D4:D19" si="2">B4-C4</f>
        <v>-481995.51</v>
      </c>
      <c r="E4" s="23"/>
      <c r="G4" s="25" t="s">
        <v>38</v>
      </c>
      <c r="H4" s="28">
        <v>1.1547186E7</v>
      </c>
      <c r="I4" s="28">
        <v>1.0129E7</v>
      </c>
      <c r="J4" s="28">
        <f t="shared" ref="J4:J13" si="3">H4-I4</f>
        <v>1418186</v>
      </c>
    </row>
    <row r="5" ht="14.25" customHeight="1">
      <c r="A5" s="32" t="s">
        <v>47</v>
      </c>
      <c r="B5" s="36">
        <f>NPC!S8</f>
        <v>640710.57</v>
      </c>
      <c r="C5" s="36">
        <f t="shared" si="1"/>
        <v>673750</v>
      </c>
      <c r="D5" s="36">
        <f t="shared" si="2"/>
        <v>-33039.43</v>
      </c>
      <c r="E5" s="36"/>
      <c r="G5" s="38" t="s">
        <v>51</v>
      </c>
      <c r="H5" s="28">
        <v>768124.0</v>
      </c>
      <c r="I5" s="28">
        <v>673750.0</v>
      </c>
      <c r="J5" s="28">
        <f t="shared" si="3"/>
        <v>94374</v>
      </c>
    </row>
    <row r="6" ht="14.25" customHeight="1">
      <c r="A6" s="14" t="s">
        <v>53</v>
      </c>
      <c r="B6" s="23">
        <f t="shared" ref="B6:C6" si="4">(B4-B5)</f>
        <v>9006293.92</v>
      </c>
      <c r="C6" s="23">
        <f t="shared" si="4"/>
        <v>9455250</v>
      </c>
      <c r="D6" s="23">
        <f t="shared" si="2"/>
        <v>-448956.08</v>
      </c>
      <c r="E6" s="23"/>
      <c r="G6" s="25" t="s">
        <v>57</v>
      </c>
      <c r="H6" s="28">
        <v>1.0779062E7</v>
      </c>
      <c r="I6" s="28">
        <v>9455250.0</v>
      </c>
      <c r="J6" s="28">
        <f t="shared" si="3"/>
        <v>1323812</v>
      </c>
    </row>
    <row r="7" ht="14.25" customHeight="1">
      <c r="A7" s="32" t="s">
        <v>59</v>
      </c>
      <c r="B7" s="36">
        <f>NPC!S17</f>
        <v>3724437.6</v>
      </c>
      <c r="C7" s="36">
        <f>I7</f>
        <v>4638667</v>
      </c>
      <c r="D7" s="36">
        <f t="shared" si="2"/>
        <v>-914229.4</v>
      </c>
      <c r="E7" s="36"/>
      <c r="G7" s="38" t="s">
        <v>61</v>
      </c>
      <c r="H7" s="28">
        <v>4304076.0</v>
      </c>
      <c r="I7" s="28">
        <v>4638667.0</v>
      </c>
      <c r="J7" s="28">
        <f t="shared" si="3"/>
        <v>-334591</v>
      </c>
    </row>
    <row r="8" ht="14.25" customHeight="1">
      <c r="A8" s="32" t="s">
        <v>63</v>
      </c>
      <c r="B8" s="36">
        <f>NPC!S32</f>
        <v>3621214.22</v>
      </c>
      <c r="C8" s="36">
        <f>I9</f>
        <v>3007083</v>
      </c>
      <c r="D8" s="36">
        <f t="shared" si="2"/>
        <v>614131.22</v>
      </c>
      <c r="E8" s="36"/>
      <c r="G8" s="25" t="s">
        <v>66</v>
      </c>
      <c r="H8" s="28">
        <v>6474986.0</v>
      </c>
      <c r="I8" s="28">
        <f>I6-I7</f>
        <v>4816583</v>
      </c>
      <c r="J8" s="28">
        <f t="shared" si="3"/>
        <v>1658403</v>
      </c>
      <c r="K8" s="45"/>
    </row>
    <row r="9" ht="14.25" customHeight="1">
      <c r="A9" s="14" t="s">
        <v>69</v>
      </c>
      <c r="B9" s="23">
        <f t="shared" ref="B9:C9" si="5">B6-B7-B8</f>
        <v>1660642.1</v>
      </c>
      <c r="C9" s="23">
        <f t="shared" si="5"/>
        <v>1809500</v>
      </c>
      <c r="D9" s="23">
        <f t="shared" si="2"/>
        <v>-148857.9</v>
      </c>
      <c r="E9" s="23"/>
      <c r="G9" s="38" t="s">
        <v>74</v>
      </c>
      <c r="H9" s="28">
        <v>3621214.0</v>
      </c>
      <c r="I9" s="28">
        <v>3007083.0</v>
      </c>
      <c r="J9" s="28">
        <f t="shared" si="3"/>
        <v>614131</v>
      </c>
    </row>
    <row r="10" ht="14.25" customHeight="1">
      <c r="A10" s="32" t="s">
        <v>77</v>
      </c>
      <c r="B10" s="36">
        <v>0.0</v>
      </c>
      <c r="C10" s="36">
        <v>0.0</v>
      </c>
      <c r="D10" s="23">
        <f t="shared" si="2"/>
        <v>0</v>
      </c>
      <c r="E10" s="36"/>
      <c r="G10" s="25" t="s">
        <v>78</v>
      </c>
      <c r="H10" s="28">
        <v>2900957.0</v>
      </c>
      <c r="I10" s="28">
        <v>1821903.0</v>
      </c>
      <c r="J10" s="28">
        <f t="shared" si="3"/>
        <v>1079054</v>
      </c>
    </row>
    <row r="11" ht="14.25" customHeight="1">
      <c r="A11" s="32" t="s">
        <v>82</v>
      </c>
      <c r="B11" s="36">
        <f>NPC!S73</f>
        <v>51539.05</v>
      </c>
      <c r="C11" s="36">
        <v>12403.0</v>
      </c>
      <c r="D11" s="23">
        <f t="shared" si="2"/>
        <v>39136.05</v>
      </c>
      <c r="E11" s="36"/>
      <c r="G11" s="25" t="s">
        <v>89</v>
      </c>
      <c r="H11" s="28">
        <v>0.0</v>
      </c>
      <c r="I11" s="28">
        <v>0.0</v>
      </c>
      <c r="J11" s="28">
        <f t="shared" si="3"/>
        <v>0</v>
      </c>
    </row>
    <row r="12" ht="14.25" customHeight="1">
      <c r="A12" s="14" t="s">
        <v>90</v>
      </c>
      <c r="B12" s="23">
        <f t="shared" ref="B12:C12" si="6">B9+B11+B10</f>
        <v>1712181.15</v>
      </c>
      <c r="C12" s="23">
        <f t="shared" si="6"/>
        <v>1821903</v>
      </c>
      <c r="D12" s="23">
        <f t="shared" si="2"/>
        <v>-109721.85</v>
      </c>
      <c r="E12" s="23"/>
      <c r="G12" s="38" t="s">
        <v>94</v>
      </c>
      <c r="H12" s="28">
        <v>1035581.0</v>
      </c>
      <c r="I12" s="28">
        <v>1185274.0</v>
      </c>
      <c r="J12" s="28">
        <f t="shared" si="3"/>
        <v>-149693</v>
      </c>
    </row>
    <row r="13" ht="14.25" customHeight="1">
      <c r="A13" s="32" t="s">
        <v>96</v>
      </c>
      <c r="B13" s="36">
        <f>SUM(NPC!S67:S68)</f>
        <v>1224006.77</v>
      </c>
      <c r="C13" s="36">
        <f>I12</f>
        <v>1185274</v>
      </c>
      <c r="D13" s="23">
        <f t="shared" si="2"/>
        <v>38732.77</v>
      </c>
      <c r="E13" s="23"/>
      <c r="G13" s="25" t="s">
        <v>99</v>
      </c>
      <c r="H13" s="28">
        <v>1488870.0</v>
      </c>
      <c r="I13" s="28">
        <v>636629.0</v>
      </c>
      <c r="J13" s="28">
        <f t="shared" si="3"/>
        <v>852241</v>
      </c>
      <c r="K13" s="45"/>
    </row>
    <row r="14" ht="14.25" customHeight="1">
      <c r="A14" s="14" t="s">
        <v>104</v>
      </c>
      <c r="B14" s="23">
        <f>NPC!S86</f>
        <v>1083483.33</v>
      </c>
      <c r="C14" s="23">
        <f>C4-C7-C8-C13</f>
        <v>1297976</v>
      </c>
      <c r="D14" s="23">
        <f t="shared" si="2"/>
        <v>-214492.67</v>
      </c>
      <c r="E14" s="23"/>
    </row>
    <row r="15" ht="14.25" customHeight="1">
      <c r="A15" s="49" t="s">
        <v>105</v>
      </c>
      <c r="B15" s="50">
        <f>'Indicadores Financeiro'!E5</f>
        <v>0.1203029059</v>
      </c>
      <c r="C15" s="50">
        <f>C14/C6</f>
        <v>0.1372756934</v>
      </c>
      <c r="D15" s="50">
        <f t="shared" si="2"/>
        <v>-0.01697278749</v>
      </c>
      <c r="E15" s="50"/>
      <c r="G15" s="52" t="s">
        <v>111</v>
      </c>
      <c r="H15" s="52" t="s">
        <v>115</v>
      </c>
      <c r="I15" s="52" t="s">
        <v>116</v>
      </c>
      <c r="J15" s="52" t="s">
        <v>117</v>
      </c>
    </row>
    <row r="16" ht="19.5" customHeight="1">
      <c r="A16" s="53" t="s">
        <v>118</v>
      </c>
      <c r="B16" s="55">
        <f>'Indicadores Financeiro'!E5</f>
        <v>0.1203029059</v>
      </c>
      <c r="C16" s="55">
        <f>'Indicadores Financeiro'!F5</f>
        <v>0.1913751619</v>
      </c>
      <c r="D16" s="50">
        <f t="shared" si="2"/>
        <v>-0.07107225604</v>
      </c>
      <c r="E16" s="55"/>
      <c r="G16" s="57"/>
      <c r="H16" s="57"/>
      <c r="I16" s="57"/>
      <c r="J16" s="57"/>
    </row>
    <row r="17" ht="16.5" customHeight="1">
      <c r="A17" s="53" t="s">
        <v>122</v>
      </c>
      <c r="B17" s="55">
        <f>'Indicadores Financeiro'!E6</f>
        <v>0.402075954</v>
      </c>
      <c r="C17" s="55">
        <f>'Indicadores Financeiro'!F6</f>
        <v>0.3180331562</v>
      </c>
      <c r="D17" s="50">
        <f t="shared" si="2"/>
        <v>0.08404279783</v>
      </c>
      <c r="E17" s="55"/>
      <c r="G17" s="58" t="s">
        <v>128</v>
      </c>
      <c r="H17" s="59">
        <f>I4</f>
        <v>10129000</v>
      </c>
      <c r="I17" s="59">
        <f>H4</f>
        <v>11547186</v>
      </c>
      <c r="J17" s="59">
        <f t="shared" ref="J17:J21" si="7">I17-H17</f>
        <v>1418186</v>
      </c>
    </row>
    <row r="18" ht="16.5" customHeight="1">
      <c r="A18" s="53" t="s">
        <v>131</v>
      </c>
      <c r="B18" s="60">
        <f>'Indicadores Financeiro'!E8</f>
        <v>2359029.15</v>
      </c>
      <c r="C18" s="60">
        <f>'Indicadores Financeiro'!F8</f>
        <v>2495653</v>
      </c>
      <c r="D18" s="61">
        <f t="shared" si="2"/>
        <v>-136623.85</v>
      </c>
      <c r="E18" s="55"/>
      <c r="G18" s="62" t="s">
        <v>135</v>
      </c>
      <c r="H18" s="64">
        <v>0.191</v>
      </c>
      <c r="I18" s="64">
        <v>0.14</v>
      </c>
      <c r="J18" s="66">
        <f t="shared" si="7"/>
        <v>-0.051</v>
      </c>
    </row>
    <row r="19" ht="16.5" customHeight="1">
      <c r="A19" s="53" t="s">
        <v>140</v>
      </c>
      <c r="B19" s="55">
        <f>'Indicadores Financeiro'!E9</f>
        <v>0.2619311751</v>
      </c>
      <c r="C19" s="55">
        <f>'Indicadores Financeiro'!F9</f>
        <v>0.2639436292</v>
      </c>
      <c r="D19" s="50">
        <f t="shared" si="2"/>
        <v>-0.002012454074</v>
      </c>
      <c r="E19" s="50"/>
      <c r="G19" s="62" t="s">
        <v>71</v>
      </c>
      <c r="H19" s="64">
        <v>0.318</v>
      </c>
      <c r="I19" s="64">
        <v>0.39</v>
      </c>
      <c r="J19" s="66">
        <f t="shared" si="7"/>
        <v>0.072</v>
      </c>
    </row>
    <row r="20" ht="16.5" customHeight="1">
      <c r="G20" s="62" t="s">
        <v>144</v>
      </c>
      <c r="H20" s="64">
        <v>0.137</v>
      </c>
      <c r="I20" s="59">
        <v>1488870.0</v>
      </c>
      <c r="J20" s="59">
        <f t="shared" si="7"/>
        <v>1488869.863</v>
      </c>
    </row>
    <row r="21" ht="16.5" customHeight="1">
      <c r="A21" s="6" t="s">
        <v>8</v>
      </c>
      <c r="B21" s="8" t="s">
        <v>147</v>
      </c>
      <c r="C21" s="8" t="s">
        <v>148</v>
      </c>
      <c r="D21" s="10" t="s">
        <v>17</v>
      </c>
      <c r="E21" s="10"/>
      <c r="G21" s="62" t="s">
        <v>151</v>
      </c>
      <c r="H21" s="59">
        <f t="shared" ref="H21:H22" si="8">C18</f>
        <v>2495653</v>
      </c>
      <c r="I21" s="59">
        <v>719662.0</v>
      </c>
      <c r="J21" s="59">
        <f t="shared" si="7"/>
        <v>-1775991</v>
      </c>
      <c r="K21" s="72"/>
    </row>
    <row r="22" ht="16.5" customHeight="1">
      <c r="A22" s="14" t="s">
        <v>38</v>
      </c>
      <c r="B22" s="23" t="str">
        <f>SUM([1]NPC!#REF!)</f>
        <v>#ERROR!</v>
      </c>
      <c r="C22" s="23" t="str">
        <f>'[2]DRE NPC (2)'!$P$4+'[2]DRE NPC (2)'!$Q$4</f>
        <v>#REF!</v>
      </c>
      <c r="D22" s="23" t="str">
        <f t="shared" ref="D22:D37" si="9">B22-C22</f>
        <v>#ERROR!</v>
      </c>
      <c r="E22" s="23"/>
      <c r="G22" s="62" t="s">
        <v>160</v>
      </c>
      <c r="H22" s="74">
        <f t="shared" si="8"/>
        <v>0.2639436292</v>
      </c>
      <c r="I22" s="74">
        <v>0.07</v>
      </c>
      <c r="J22" s="74">
        <f>H22-I22</f>
        <v>0.1939436292</v>
      </c>
    </row>
    <row r="23" ht="14.25" customHeight="1">
      <c r="A23" s="32" t="s">
        <v>47</v>
      </c>
      <c r="B23" s="36" t="str">
        <f>-SUM([1]NPC!#REF!)</f>
        <v>#ERROR!</v>
      </c>
      <c r="C23" s="36" t="str">
        <f>-'[2]DRE NPC (2)'!$P$5-'[2]DRE NPC (2)'!$Q$5</f>
        <v>#REF!</v>
      </c>
      <c r="D23" s="36" t="str">
        <f t="shared" si="9"/>
        <v>#ERROR!</v>
      </c>
      <c r="E23" s="36"/>
    </row>
    <row r="24" ht="14.25" customHeight="1">
      <c r="A24" s="14" t="s">
        <v>53</v>
      </c>
      <c r="B24" s="23" t="str">
        <f t="shared" ref="B24:C24" si="10">SUM(B22:B23)</f>
        <v>#ERROR!</v>
      </c>
      <c r="C24" s="23" t="str">
        <f t="shared" si="10"/>
        <v>#REF!</v>
      </c>
      <c r="D24" s="23" t="str">
        <f t="shared" si="9"/>
        <v>#ERROR!</v>
      </c>
      <c r="E24" s="23"/>
    </row>
    <row r="25" ht="14.25" customHeight="1">
      <c r="A25" s="32" t="s">
        <v>59</v>
      </c>
      <c r="B25" s="36" t="str">
        <f>-SUM([1]NPC!#REF!)</f>
        <v>#ERROR!</v>
      </c>
      <c r="C25" s="36" t="str">
        <f>-'[2]DRE NPC (2)'!$P$7-'[2]DRE NPC (2)'!$Q$7</f>
        <v>#REF!</v>
      </c>
      <c r="D25" s="36" t="str">
        <f t="shared" si="9"/>
        <v>#ERROR!</v>
      </c>
      <c r="E25" s="36"/>
    </row>
    <row r="26" ht="14.25" customHeight="1">
      <c r="A26" s="32" t="s">
        <v>63</v>
      </c>
      <c r="B26" s="36" t="str">
        <f>-SUM([1]NPC!#REF!)</f>
        <v>#ERROR!</v>
      </c>
      <c r="C26" s="36" t="str">
        <f>-'[2]DRE NPC (2)'!$P$8-'[2]DRE NPC (2)'!$Q$8</f>
        <v>#REF!</v>
      </c>
      <c r="D26" s="36" t="str">
        <f t="shared" si="9"/>
        <v>#ERROR!</v>
      </c>
      <c r="E26" s="36"/>
    </row>
    <row r="27" ht="14.25" customHeight="1">
      <c r="A27" s="14" t="s">
        <v>69</v>
      </c>
      <c r="B27" s="23" t="str">
        <f t="shared" ref="B27:C27" si="11">B24+B25+B26</f>
        <v>#ERROR!</v>
      </c>
      <c r="C27" s="23" t="str">
        <f t="shared" si="11"/>
        <v>#REF!</v>
      </c>
      <c r="D27" s="23" t="str">
        <f t="shared" si="9"/>
        <v>#ERROR!</v>
      </c>
      <c r="E27" s="23"/>
    </row>
    <row r="28" ht="14.25" customHeight="1">
      <c r="A28" s="32" t="s">
        <v>77</v>
      </c>
      <c r="B28" s="36" t="str">
        <f>[1]Corretora!N15+[1]Corretora!N16+[1]Corretora!N17</f>
        <v>#ERROR!</v>
      </c>
      <c r="C28" s="36">
        <v>0.0</v>
      </c>
      <c r="D28" s="23" t="str">
        <f t="shared" si="9"/>
        <v>#ERROR!</v>
      </c>
      <c r="E28" s="36"/>
    </row>
    <row r="29" ht="14.25" customHeight="1">
      <c r="A29" s="14" t="s">
        <v>82</v>
      </c>
      <c r="B29" s="36" t="str">
        <f>SUM([1]NPC!#REF!)</f>
        <v>#ERROR!</v>
      </c>
      <c r="C29" s="36" t="str">
        <f>'[2]DRE NPC (2)'!$P$10+'[2]DRE NPC (2)'!$Q$10</f>
        <v>#REF!</v>
      </c>
      <c r="D29" s="36" t="str">
        <f t="shared" si="9"/>
        <v>#ERROR!</v>
      </c>
      <c r="E29" s="36"/>
    </row>
    <row r="30" ht="14.25" customHeight="1">
      <c r="A30" s="14" t="s">
        <v>90</v>
      </c>
      <c r="B30" s="23" t="str">
        <f t="shared" ref="B30:C30" si="12">B27+B29+B28</f>
        <v>#ERROR!</v>
      </c>
      <c r="C30" s="23" t="str">
        <f t="shared" si="12"/>
        <v>#REF!</v>
      </c>
      <c r="D30" s="23" t="str">
        <f t="shared" si="9"/>
        <v>#ERROR!</v>
      </c>
      <c r="E30" s="23"/>
    </row>
    <row r="31" ht="14.25" customHeight="1">
      <c r="A31" s="32" t="s">
        <v>96</v>
      </c>
      <c r="B31" s="36" t="str">
        <f>-SUM([1]NPC!#REF!)</f>
        <v>#ERROR!</v>
      </c>
      <c r="C31" s="36" t="str">
        <f>-'[2]DRE NPC (2)'!$P$12-+'[2]DRE NPC (2)'!$Q$12</f>
        <v>#REF!</v>
      </c>
      <c r="D31" s="23" t="str">
        <f t="shared" si="9"/>
        <v>#ERROR!</v>
      </c>
      <c r="E31" s="23"/>
      <c r="G31" s="76"/>
      <c r="H31" s="76"/>
      <c r="I31" s="77">
        <v>-2025.0</v>
      </c>
      <c r="J31" s="77" t="s">
        <v>208</v>
      </c>
    </row>
    <row r="32" ht="14.25" customHeight="1">
      <c r="A32" s="14" t="s">
        <v>99</v>
      </c>
      <c r="B32" s="23" t="str">
        <f t="shared" ref="B32:C32" si="13">B30+B31</f>
        <v>#ERROR!</v>
      </c>
      <c r="C32" s="23" t="str">
        <f t="shared" si="13"/>
        <v>#REF!</v>
      </c>
      <c r="D32" s="23" t="str">
        <f t="shared" si="9"/>
        <v>#ERROR!</v>
      </c>
      <c r="E32" s="23"/>
      <c r="G32" s="78" t="s">
        <v>128</v>
      </c>
      <c r="H32" s="79" t="str">
        <f>C22</f>
        <v>#REF!</v>
      </c>
      <c r="I32" s="79" t="str">
        <f>B22</f>
        <v>#ERROR!</v>
      </c>
      <c r="J32" s="79" t="str">
        <f t="shared" ref="J32:J37" si="15">I32-H32</f>
        <v>#ERROR!</v>
      </c>
    </row>
    <row r="33" ht="14.25" customHeight="1">
      <c r="A33" s="49" t="s">
        <v>105</v>
      </c>
      <c r="B33" s="50" t="str">
        <f t="shared" ref="B33:C33" si="14">B32/B24</f>
        <v>#ERROR!</v>
      </c>
      <c r="C33" s="50" t="str">
        <f t="shared" si="14"/>
        <v>#REF!</v>
      </c>
      <c r="D33" s="50" t="str">
        <f t="shared" si="9"/>
        <v>#ERROR!</v>
      </c>
      <c r="E33" s="50"/>
      <c r="G33" s="80" t="s">
        <v>135</v>
      </c>
      <c r="H33" s="81" t="str">
        <f>C33</f>
        <v>#REF!</v>
      </c>
      <c r="I33" s="81" t="str">
        <f>B33</f>
        <v>#ERROR!</v>
      </c>
      <c r="J33" s="82" t="str">
        <f t="shared" si="15"/>
        <v>#ERROR!</v>
      </c>
    </row>
    <row r="34" ht="14.25" customHeight="1">
      <c r="A34" s="53" t="s">
        <v>118</v>
      </c>
      <c r="B34" s="55" t="str">
        <f t="shared" ref="B34:C34" si="16">B27/B24</f>
        <v>#ERROR!</v>
      </c>
      <c r="C34" s="55" t="str">
        <f t="shared" si="16"/>
        <v>#REF!</v>
      </c>
      <c r="D34" s="50" t="str">
        <f t="shared" si="9"/>
        <v>#ERROR!</v>
      </c>
      <c r="E34" s="55"/>
      <c r="G34" s="83" t="s">
        <v>71</v>
      </c>
      <c r="H34" s="84" t="str">
        <f>C35</f>
        <v>#REF!</v>
      </c>
      <c r="I34" s="84" t="str">
        <f>B35</f>
        <v>#ERROR!</v>
      </c>
      <c r="J34" s="85" t="str">
        <f t="shared" si="15"/>
        <v>#ERROR!</v>
      </c>
    </row>
    <row r="35" ht="14.25" customHeight="1">
      <c r="A35" s="53" t="s">
        <v>122</v>
      </c>
      <c r="B35" s="55" t="str">
        <f t="shared" ref="B35:C35" si="17">SUM(B28+B26)/B24</f>
        <v>#ERROR!</v>
      </c>
      <c r="C35" s="55" t="str">
        <f t="shared" si="17"/>
        <v>#REF!</v>
      </c>
      <c r="D35" s="50" t="str">
        <f t="shared" si="9"/>
        <v>#ERROR!</v>
      </c>
      <c r="E35" s="55"/>
      <c r="G35" s="80" t="s">
        <v>144</v>
      </c>
      <c r="H35" s="86" t="str">
        <f>C32</f>
        <v>#REF!</v>
      </c>
      <c r="I35" s="86" t="str">
        <f>B32</f>
        <v>#ERROR!</v>
      </c>
      <c r="J35" s="86" t="str">
        <f t="shared" si="15"/>
        <v>#ERROR!</v>
      </c>
    </row>
    <row r="36" ht="14.25" customHeight="1">
      <c r="A36" s="53" t="s">
        <v>131</v>
      </c>
      <c r="B36" s="60" t="str">
        <f t="shared" ref="B36:C36" si="18">B32-B31-B29</f>
        <v>#ERROR!</v>
      </c>
      <c r="C36" s="60" t="str">
        <f t="shared" si="18"/>
        <v>#REF!</v>
      </c>
      <c r="D36" s="87" t="str">
        <f t="shared" si="9"/>
        <v>#ERROR!</v>
      </c>
      <c r="E36" s="55"/>
      <c r="G36" s="83" t="s">
        <v>151</v>
      </c>
      <c r="H36" s="89" t="str">
        <f t="shared" ref="H36:H37" si="20">C36</f>
        <v>#REF!</v>
      </c>
      <c r="I36" s="89" t="str">
        <f t="shared" ref="I36:I37" si="21">B36</f>
        <v>#ERROR!</v>
      </c>
      <c r="J36" s="89" t="str">
        <f t="shared" si="15"/>
        <v>#ERROR!</v>
      </c>
    </row>
    <row r="37" ht="14.25" customHeight="1">
      <c r="A37" s="53" t="s">
        <v>140</v>
      </c>
      <c r="B37" s="55" t="str">
        <f t="shared" ref="B37:C37" si="19">B36/B24</f>
        <v>#ERROR!</v>
      </c>
      <c r="C37" s="55" t="str">
        <f t="shared" si="19"/>
        <v>#REF!</v>
      </c>
      <c r="D37" s="50" t="str">
        <f t="shared" si="9"/>
        <v>#ERROR!</v>
      </c>
      <c r="G37" s="90" t="s">
        <v>160</v>
      </c>
      <c r="H37" s="91" t="str">
        <f t="shared" si="20"/>
        <v>#REF!</v>
      </c>
      <c r="I37" s="91" t="str">
        <f t="shared" si="21"/>
        <v>#ERROR!</v>
      </c>
      <c r="J37" s="93" t="str">
        <f t="shared" si="15"/>
        <v>#ERROR!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G15:G16"/>
    <mergeCell ref="H15:H16"/>
    <mergeCell ref="I15:I16"/>
    <mergeCell ref="J15:J16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Row="2"/>
  <cols>
    <col customWidth="1" min="1" max="1" width="30.88"/>
    <col customWidth="1" min="2" max="2" width="53.88"/>
    <col customWidth="1" min="3" max="3" width="16.0"/>
    <col customWidth="1" min="4" max="4" width="30.88"/>
    <col customWidth="1" min="5" max="6" width="13.13"/>
    <col customWidth="1" min="7" max="7" width="29.13"/>
    <col customWidth="1" min="8" max="8" width="13.13"/>
    <col customWidth="1" min="9" max="26" width="8.63"/>
  </cols>
  <sheetData>
    <row r="1" ht="14.25" customHeight="1">
      <c r="A1" s="9" t="s">
        <v>13</v>
      </c>
      <c r="B1" s="9" t="s">
        <v>23</v>
      </c>
      <c r="D1" s="9" t="s">
        <v>27</v>
      </c>
      <c r="E1" s="9" t="s">
        <v>31</v>
      </c>
      <c r="F1" s="9" t="s">
        <v>36</v>
      </c>
      <c r="G1" s="9" t="s">
        <v>39</v>
      </c>
    </row>
    <row r="2" ht="14.25" customHeight="1">
      <c r="A2" s="16" t="s">
        <v>42</v>
      </c>
      <c r="B2" s="16" t="s">
        <v>43</v>
      </c>
      <c r="C2" s="20" t="s">
        <v>44</v>
      </c>
      <c r="D2" s="22" t="s">
        <v>42</v>
      </c>
      <c r="E2" s="27">
        <f>NPC!S2</f>
        <v>9647004.49</v>
      </c>
      <c r="F2" s="27">
        <f>'Indicadores Planilhas'!C4</f>
        <v>10129000</v>
      </c>
      <c r="G2" s="16"/>
      <c r="H2" s="35" t="s">
        <v>48</v>
      </c>
    </row>
    <row r="3" ht="14.25" customHeight="1">
      <c r="A3" s="16" t="s">
        <v>49</v>
      </c>
      <c r="B3" s="16" t="s">
        <v>50</v>
      </c>
      <c r="D3" s="22" t="s">
        <v>49</v>
      </c>
      <c r="E3" s="22">
        <v>0.0</v>
      </c>
      <c r="F3" s="22">
        <v>0.0</v>
      </c>
      <c r="G3" s="16" t="s">
        <v>52</v>
      </c>
    </row>
    <row r="4" ht="14.25" customHeight="1">
      <c r="A4" s="16" t="s">
        <v>54</v>
      </c>
      <c r="B4" s="16" t="s">
        <v>55</v>
      </c>
      <c r="D4" s="22" t="s">
        <v>54</v>
      </c>
      <c r="E4" s="42">
        <f>NPC!S91</f>
        <v>0.5864627967</v>
      </c>
      <c r="F4" s="42"/>
      <c r="G4" s="16"/>
    </row>
    <row r="5" ht="14.25" customHeight="1">
      <c r="A5" s="16" t="s">
        <v>60</v>
      </c>
      <c r="B5" s="16" t="s">
        <v>62</v>
      </c>
      <c r="D5" s="22" t="s">
        <v>60</v>
      </c>
      <c r="E5" s="42">
        <f>NPC!S87</f>
        <v>0.1203029059</v>
      </c>
      <c r="F5" s="42">
        <f>'Indicadores Planilhas'!C9/'Indicadores Planilhas'!C6</f>
        <v>0.1913751619</v>
      </c>
      <c r="G5" s="16"/>
    </row>
    <row r="6" ht="14.25" customHeight="1">
      <c r="A6" s="16" t="s">
        <v>71</v>
      </c>
      <c r="B6" s="16" t="s">
        <v>73</v>
      </c>
      <c r="D6" s="22" t="s">
        <v>71</v>
      </c>
      <c r="E6" s="42">
        <f>NPC!S90</f>
        <v>0.402075954</v>
      </c>
      <c r="F6" s="42">
        <f>'Indicadores Planilhas'!C8/'Indicadores Planilhas'!C6</f>
        <v>0.3180331562</v>
      </c>
      <c r="G6" s="16"/>
      <c r="H6" s="20" t="s">
        <v>81</v>
      </c>
    </row>
    <row r="7" ht="14.25" customHeight="1">
      <c r="A7" s="16" t="s">
        <v>83</v>
      </c>
      <c r="B7" s="16" t="s">
        <v>84</v>
      </c>
      <c r="D7" s="22" t="s">
        <v>83</v>
      </c>
      <c r="E7" s="27">
        <f>NPC!S86</f>
        <v>1083483.33</v>
      </c>
      <c r="F7" s="27"/>
      <c r="G7" s="16"/>
    </row>
    <row r="8" ht="14.25" customHeight="1">
      <c r="A8" s="16" t="s">
        <v>91</v>
      </c>
      <c r="B8" s="16" t="s">
        <v>92</v>
      </c>
      <c r="D8" s="22" t="s">
        <v>91</v>
      </c>
      <c r="E8" s="27">
        <f>NPC!S88</f>
        <v>2359029.15</v>
      </c>
      <c r="F8" s="27">
        <f>'Indicadores Planilhas'!C14+'Indicadores Planilhas'!C13+'Indicadores Planilhas'!C11</f>
        <v>2495653</v>
      </c>
      <c r="G8" s="16"/>
    </row>
    <row r="9" ht="14.25" customHeight="1">
      <c r="A9" s="16" t="s">
        <v>101</v>
      </c>
      <c r="B9" s="16" t="s">
        <v>103</v>
      </c>
      <c r="D9" s="22" t="s">
        <v>101</v>
      </c>
      <c r="E9" s="42">
        <f>NPC!S89</f>
        <v>0.2619311751</v>
      </c>
      <c r="F9" s="42">
        <f>F8/'Indicadores Planilhas'!C6</f>
        <v>0.2639436292</v>
      </c>
      <c r="G9" s="16"/>
    </row>
    <row r="10" ht="14.25" customHeight="1">
      <c r="A10" s="16" t="s">
        <v>108</v>
      </c>
      <c r="B10" s="16" t="s">
        <v>109</v>
      </c>
      <c r="D10" s="22" t="s">
        <v>108</v>
      </c>
      <c r="E10" s="51" t="str">
        <f>'OKRs Consolidados'!N50</f>
        <v>Consolidação</v>
      </c>
      <c r="F10" s="22"/>
      <c r="G10" s="16"/>
      <c r="H10" s="21">
        <v>1787215.62</v>
      </c>
      <c r="I10" s="54" t="str">
        <f>H10/E10</f>
        <v>#VALUE!</v>
      </c>
    </row>
    <row r="11" ht="14.25" customHeight="1">
      <c r="A11" s="16" t="s">
        <v>119</v>
      </c>
      <c r="B11" s="16" t="s">
        <v>109</v>
      </c>
      <c r="D11" s="22" t="s">
        <v>119</v>
      </c>
      <c r="E11" s="56">
        <v>273.0</v>
      </c>
      <c r="F11" s="56"/>
      <c r="G11" s="16"/>
    </row>
    <row r="12" ht="14.25" customHeight="1">
      <c r="A12" s="16" t="s">
        <v>123</v>
      </c>
      <c r="B12" s="16" t="s">
        <v>109</v>
      </c>
      <c r="D12" s="22" t="s">
        <v>123</v>
      </c>
      <c r="E12" s="42">
        <f>100%-(4%+4%+3%+4%+6%+2%+4%+9%+0%+1%+2%+17%+13%+14%+27%+4%)/16</f>
        <v>0.92875</v>
      </c>
      <c r="F12" s="42"/>
      <c r="G12" s="16" t="s">
        <v>132</v>
      </c>
    </row>
    <row r="13" ht="14.25" customHeight="1">
      <c r="A13" s="16" t="s">
        <v>133</v>
      </c>
      <c r="B13" s="16" t="s">
        <v>134</v>
      </c>
      <c r="C13" s="20" t="s">
        <v>44</v>
      </c>
      <c r="D13" s="22" t="s">
        <v>133</v>
      </c>
      <c r="E13" s="27" t="str">
        <f>E2/E10</f>
        <v>#VALUE!</v>
      </c>
      <c r="F13" s="27"/>
      <c r="G13" s="16"/>
      <c r="H13" s="35"/>
    </row>
    <row r="14" ht="14.25" customHeight="1">
      <c r="A14" s="16" t="s">
        <v>138</v>
      </c>
      <c r="B14" s="16" t="s">
        <v>139</v>
      </c>
      <c r="D14" s="22" t="s">
        <v>138</v>
      </c>
      <c r="E14" s="42">
        <v>0.93</v>
      </c>
      <c r="F14" s="42"/>
      <c r="G14" s="16"/>
    </row>
    <row r="15" ht="14.25" customHeight="1">
      <c r="A15" s="16" t="s">
        <v>141</v>
      </c>
      <c r="B15" s="16" t="s">
        <v>109</v>
      </c>
      <c r="D15" s="22" t="s">
        <v>141</v>
      </c>
      <c r="E15" s="69">
        <f>(52.1+82.1+92.1)/3</f>
        <v>75.43333333</v>
      </c>
      <c r="F15" s="69"/>
      <c r="G15" s="16"/>
    </row>
    <row r="16" ht="14.25" customHeight="1">
      <c r="A16" s="16" t="s">
        <v>149</v>
      </c>
      <c r="B16" s="16" t="s">
        <v>150</v>
      </c>
      <c r="D16" s="22" t="s">
        <v>149</v>
      </c>
      <c r="E16" s="42">
        <f>(NPC!S84)/B24</f>
        <v>0.9399655666</v>
      </c>
      <c r="F16" s="42"/>
      <c r="G16" s="16"/>
    </row>
    <row r="17" ht="14.25" customHeight="1">
      <c r="A17" s="16" t="s">
        <v>152</v>
      </c>
      <c r="B17" s="16" t="s">
        <v>153</v>
      </c>
      <c r="D17" s="22" t="s">
        <v>152</v>
      </c>
      <c r="E17" s="42">
        <f>B32/B27</f>
        <v>0.111921636</v>
      </c>
      <c r="F17" s="42"/>
      <c r="G17" s="16"/>
    </row>
    <row r="18" ht="14.25" customHeight="1">
      <c r="A18" s="16" t="s">
        <v>156</v>
      </c>
      <c r="B18" s="16" t="s">
        <v>159</v>
      </c>
      <c r="D18" s="22" t="s">
        <v>156</v>
      </c>
      <c r="E18" s="42">
        <f>B31/B27</f>
        <v>0.4401047453</v>
      </c>
      <c r="F18" s="42"/>
      <c r="G18" s="16"/>
    </row>
    <row r="19" ht="14.25" customHeight="1">
      <c r="A19" s="16" t="s">
        <v>161</v>
      </c>
      <c r="B19" s="16" t="s">
        <v>162</v>
      </c>
      <c r="D19" s="22" t="s">
        <v>161</v>
      </c>
      <c r="E19" s="27">
        <f>B25/B29</f>
        <v>7.186400686</v>
      </c>
      <c r="F19" s="27"/>
      <c r="G19" s="16"/>
    </row>
    <row r="20" ht="14.25" customHeight="1">
      <c r="A20" s="16" t="s">
        <v>165</v>
      </c>
      <c r="B20" s="16" t="s">
        <v>166</v>
      </c>
      <c r="D20" s="22" t="s">
        <v>165</v>
      </c>
      <c r="E20" s="27">
        <f>(B25+B26)/B29</f>
        <v>7.990431012</v>
      </c>
      <c r="F20" s="27"/>
      <c r="G20" s="16"/>
    </row>
    <row r="21" ht="14.25" customHeight="1">
      <c r="A21" s="16" t="s">
        <v>169</v>
      </c>
      <c r="B21" s="16" t="s">
        <v>170</v>
      </c>
      <c r="D21" s="22" t="s">
        <v>169</v>
      </c>
      <c r="E21" s="27">
        <f>NPC!S86/NPC!S78</f>
        <v>19.37021311</v>
      </c>
      <c r="F21" s="27"/>
      <c r="G21" s="16"/>
    </row>
    <row r="22" ht="14.25" customHeight="1">
      <c r="A22" s="16" t="s">
        <v>175</v>
      </c>
      <c r="B22" s="16" t="s">
        <v>176</v>
      </c>
      <c r="D22" s="22" t="s">
        <v>175</v>
      </c>
      <c r="E22" s="27">
        <f>(B32-B34)/NPC!S88</f>
        <v>-0.5541967551</v>
      </c>
      <c r="F22" s="27"/>
      <c r="G22" s="16"/>
    </row>
    <row r="23" ht="14.25" customHeight="1"/>
    <row r="24" ht="14.25" customHeight="1">
      <c r="A24" s="20" t="s">
        <v>179</v>
      </c>
      <c r="B24" s="75">
        <v>1915000.0</v>
      </c>
      <c r="C24" s="37" t="s">
        <v>182</v>
      </c>
    </row>
    <row r="25" ht="14.25" customHeight="1">
      <c r="A25" s="20" t="s">
        <v>183</v>
      </c>
      <c r="B25" s="75">
        <v>8035763.97</v>
      </c>
    </row>
    <row r="26" ht="14.25" customHeight="1">
      <c r="A26" s="20" t="s">
        <v>184</v>
      </c>
      <c r="B26" s="75">
        <v>899058.96</v>
      </c>
    </row>
    <row r="27" ht="14.25" customHeight="1">
      <c r="A27" s="20" t="s">
        <v>185</v>
      </c>
      <c r="B27" s="75">
        <f>B25+B26</f>
        <v>8934822.93</v>
      </c>
    </row>
    <row r="28" ht="14.25" customHeight="1">
      <c r="A28" s="20" t="s">
        <v>190</v>
      </c>
      <c r="B28" s="75">
        <v>566666.71</v>
      </c>
      <c r="C28" s="20" t="s">
        <v>191</v>
      </c>
    </row>
    <row r="29" ht="14.25" customHeight="1">
      <c r="A29" s="20" t="s">
        <v>192</v>
      </c>
      <c r="B29" s="75">
        <v>1118190.36</v>
      </c>
    </row>
    <row r="30" ht="14.25" customHeight="1">
      <c r="A30" s="20" t="s">
        <v>195</v>
      </c>
      <c r="B30" s="75">
        <v>8287813.7</v>
      </c>
    </row>
    <row r="31" ht="14.25" customHeight="1">
      <c r="A31" s="20" t="s">
        <v>196</v>
      </c>
      <c r="B31" s="75">
        <v>3932257.9699999997</v>
      </c>
      <c r="C31" s="20" t="s">
        <v>197</v>
      </c>
    </row>
    <row r="32" ht="14.25" customHeight="1">
      <c r="A32" s="20" t="s">
        <v>198</v>
      </c>
      <c r="B32" s="75">
        <v>1000000.0</v>
      </c>
    </row>
    <row r="33" ht="14.25" customHeight="1">
      <c r="A33" s="20" t="s">
        <v>199</v>
      </c>
      <c r="B33" s="75">
        <v>209672.31</v>
      </c>
    </row>
    <row r="34" ht="14.25" customHeight="1">
      <c r="A34" s="20" t="s">
        <v>200</v>
      </c>
      <c r="B34" s="75">
        <v>2307366.3</v>
      </c>
      <c r="C34" s="37">
        <f>B32-B34</f>
        <v>-1307366.3</v>
      </c>
    </row>
    <row r="35" ht="14.25" customHeight="1">
      <c r="A35" s="20" t="s">
        <v>203</v>
      </c>
      <c r="B35" s="75">
        <v>2747890.0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2"/>
  <cols>
    <col customWidth="1" min="1" max="1" width="28.13"/>
    <col customWidth="1" min="2" max="13" width="10.88"/>
    <col customWidth="1" min="14" max="14" width="15.5"/>
    <col customWidth="1" min="15" max="15" width="10.13"/>
    <col customWidth="1" min="16" max="17" width="12.5"/>
    <col customWidth="1" min="18" max="18" width="8.88"/>
    <col customWidth="1" min="19" max="19" width="30.63"/>
    <col customWidth="1" min="20" max="32" width="9.88"/>
    <col customWidth="1" min="33" max="33" width="26.75"/>
    <col customWidth="1" min="34" max="34" width="24.13"/>
    <col customWidth="1" min="35" max="35" width="17.25"/>
    <col customWidth="1" min="36" max="38" width="12.0"/>
    <col customWidth="1" min="39" max="39" width="26.75"/>
    <col customWidth="1" min="40" max="40" width="16.13"/>
    <col customWidth="1" min="41" max="41" width="10.13"/>
    <col customWidth="1" min="42" max="46" width="6.5"/>
  </cols>
  <sheetData>
    <row r="1" ht="14.25" customHeight="1">
      <c r="A1" s="102" t="s">
        <v>345</v>
      </c>
      <c r="B1" s="103">
        <v>46047.0</v>
      </c>
      <c r="C1" s="103">
        <v>46078.0</v>
      </c>
      <c r="D1" s="103">
        <v>46106.0</v>
      </c>
      <c r="E1" s="103">
        <v>46137.0</v>
      </c>
      <c r="F1" s="103">
        <v>46167.0</v>
      </c>
      <c r="G1" s="103">
        <v>46198.0</v>
      </c>
      <c r="H1" s="103">
        <v>46228.0</v>
      </c>
      <c r="I1" s="103">
        <v>46259.0</v>
      </c>
      <c r="J1" s="103">
        <v>46290.0</v>
      </c>
      <c r="K1" s="103">
        <v>46320.0</v>
      </c>
      <c r="L1" s="103">
        <v>46351.0</v>
      </c>
      <c r="M1" s="103">
        <v>46381.0</v>
      </c>
      <c r="N1" s="102" t="s">
        <v>352</v>
      </c>
      <c r="O1" s="104"/>
      <c r="P1" s="102">
        <v>2025.0</v>
      </c>
      <c r="Q1" s="105"/>
      <c r="R1" s="104"/>
      <c r="S1" s="106" t="s">
        <v>355</v>
      </c>
      <c r="T1" s="108" t="s">
        <v>4</v>
      </c>
      <c r="U1" s="108" t="s">
        <v>6</v>
      </c>
      <c r="V1" s="108" t="s">
        <v>7</v>
      </c>
      <c r="W1" s="108" t="s">
        <v>9</v>
      </c>
      <c r="X1" s="108" t="s">
        <v>10</v>
      </c>
      <c r="Y1" s="108" t="s">
        <v>12</v>
      </c>
      <c r="Z1" s="108" t="s">
        <v>14</v>
      </c>
      <c r="AA1" s="108" t="s">
        <v>16</v>
      </c>
      <c r="AB1" s="108" t="s">
        <v>18</v>
      </c>
      <c r="AC1" s="108" t="s">
        <v>19</v>
      </c>
      <c r="AD1" s="108" t="s">
        <v>20</v>
      </c>
      <c r="AE1" s="108" t="s">
        <v>21</v>
      </c>
      <c r="AF1" s="108" t="s">
        <v>30</v>
      </c>
      <c r="AG1" s="111"/>
      <c r="AH1" s="112" t="s">
        <v>362</v>
      </c>
      <c r="AI1" s="112" t="s">
        <v>363</v>
      </c>
      <c r="AJ1" s="112" t="s">
        <v>364</v>
      </c>
      <c r="AK1" s="112" t="s">
        <v>365</v>
      </c>
      <c r="AL1" s="112" t="s">
        <v>366</v>
      </c>
      <c r="AM1" s="111"/>
      <c r="AN1" s="113" t="s">
        <v>369</v>
      </c>
      <c r="AO1" s="113" t="s">
        <v>370</v>
      </c>
      <c r="AP1" s="113" t="s">
        <v>371</v>
      </c>
      <c r="AQ1" s="113" t="s">
        <v>372</v>
      </c>
      <c r="AR1" s="113" t="s">
        <v>373</v>
      </c>
      <c r="AS1" s="113" t="s">
        <v>374</v>
      </c>
      <c r="AT1" s="113" t="s">
        <v>375</v>
      </c>
    </row>
    <row r="2" ht="14.25" customHeight="1">
      <c r="A2" s="114" t="s">
        <v>376</v>
      </c>
      <c r="B2" s="115">
        <v>1471176.0</v>
      </c>
      <c r="C2" s="115">
        <v>1585603.0</v>
      </c>
      <c r="D2" s="115">
        <v>1362786.0</v>
      </c>
      <c r="E2" s="116">
        <v>1787006.0</v>
      </c>
      <c r="F2" s="115">
        <v>1640962.0</v>
      </c>
      <c r="G2" s="115">
        <v>1787216.0</v>
      </c>
      <c r="H2" s="115">
        <v>1900182.0</v>
      </c>
      <c r="I2" s="115">
        <v>2002064.0</v>
      </c>
      <c r="J2" s="115">
        <v>1904134.0</v>
      </c>
      <c r="K2" s="115">
        <v>2035135.0</v>
      </c>
      <c r="L2" s="115">
        <v>2009373.0</v>
      </c>
      <c r="M2" s="116">
        <v>1868483.0</v>
      </c>
      <c r="N2" s="115">
        <v>2.1354119E7</v>
      </c>
      <c r="O2" s="105"/>
      <c r="P2" s="115">
        <v>9634748.0</v>
      </c>
      <c r="Q2" s="105"/>
      <c r="R2" s="104"/>
      <c r="S2" s="117" t="s">
        <v>385</v>
      </c>
      <c r="T2" s="118">
        <v>1653906.0</v>
      </c>
      <c r="U2" s="118">
        <v>1741862.0</v>
      </c>
      <c r="V2" s="118">
        <v>1581738.0</v>
      </c>
      <c r="W2" s="118">
        <v>1797928.0</v>
      </c>
      <c r="X2" s="118">
        <v>1801493.0</v>
      </c>
      <c r="Y2" s="118">
        <v>1868817.0</v>
      </c>
      <c r="Z2" s="119"/>
      <c r="AA2" s="119"/>
      <c r="AB2" s="119"/>
      <c r="AC2" s="119"/>
      <c r="AD2" s="119"/>
      <c r="AE2" s="119"/>
      <c r="AF2" s="118">
        <v>1.0445742E7</v>
      </c>
      <c r="AG2" s="111"/>
      <c r="AH2" s="120" t="s">
        <v>390</v>
      </c>
      <c r="AI2" s="121" t="s">
        <v>391</v>
      </c>
      <c r="AJ2" s="122">
        <v>9540594.0</v>
      </c>
      <c r="AK2" s="123">
        <v>8.04</v>
      </c>
      <c r="AL2" s="123">
        <v>1.83</v>
      </c>
      <c r="AM2" s="111"/>
      <c r="AN2" s="124" t="s">
        <v>38</v>
      </c>
      <c r="AO2" s="118" t="s">
        <v>394</v>
      </c>
      <c r="AP2" s="125" t="s">
        <v>395</v>
      </c>
      <c r="AQ2" s="125" t="s">
        <v>396</v>
      </c>
      <c r="AR2" s="125" t="s">
        <v>397</v>
      </c>
      <c r="AS2" s="125" t="s">
        <v>398</v>
      </c>
      <c r="AT2" s="126">
        <v>0.046</v>
      </c>
    </row>
    <row r="3" ht="14.25" customHeight="1">
      <c r="A3" s="111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05"/>
      <c r="P3" s="104"/>
      <c r="Q3" s="105"/>
      <c r="R3" s="104"/>
      <c r="S3" s="131" t="s">
        <v>401</v>
      </c>
      <c r="T3" s="132">
        <v>109985.0</v>
      </c>
      <c r="U3" s="132">
        <v>115834.0</v>
      </c>
      <c r="V3" s="132">
        <v>105186.0</v>
      </c>
      <c r="W3" s="132">
        <v>119562.0</v>
      </c>
      <c r="X3" s="132">
        <v>119799.0</v>
      </c>
      <c r="Y3" s="132">
        <v>124276.0</v>
      </c>
      <c r="Z3" s="134"/>
      <c r="AA3" s="134"/>
      <c r="AB3" s="134"/>
      <c r="AC3" s="134"/>
      <c r="AD3" s="134"/>
      <c r="AE3" s="134"/>
      <c r="AF3" s="132">
        <v>694642.0</v>
      </c>
      <c r="AG3" s="127"/>
      <c r="AH3" s="135"/>
      <c r="AI3" s="136" t="s">
        <v>404</v>
      </c>
      <c r="AJ3" s="137">
        <v>1186499.0</v>
      </c>
      <c r="AK3" s="138"/>
      <c r="AL3" s="139"/>
      <c r="AM3" s="111"/>
      <c r="AN3" s="140" t="s">
        <v>405</v>
      </c>
      <c r="AO3" s="132" t="s">
        <v>406</v>
      </c>
      <c r="AP3" s="141" t="s">
        <v>408</v>
      </c>
      <c r="AQ3" s="141" t="s">
        <v>410</v>
      </c>
      <c r="AR3" s="142">
        <v>0.119</v>
      </c>
      <c r="AS3" s="142">
        <v>0.094</v>
      </c>
      <c r="AT3" s="142">
        <v>0.023</v>
      </c>
    </row>
    <row r="4" ht="14.25" customHeight="1">
      <c r="A4" s="102" t="s">
        <v>412</v>
      </c>
      <c r="B4" s="103">
        <v>46048.0</v>
      </c>
      <c r="C4" s="103">
        <v>46079.0</v>
      </c>
      <c r="D4" s="103">
        <v>46107.0</v>
      </c>
      <c r="E4" s="103">
        <v>46138.0</v>
      </c>
      <c r="F4" s="103">
        <v>46168.0</v>
      </c>
      <c r="G4" s="103">
        <v>46199.0</v>
      </c>
      <c r="H4" s="103">
        <v>46229.0</v>
      </c>
      <c r="I4" s="103">
        <v>46260.0</v>
      </c>
      <c r="J4" s="103">
        <v>46291.0</v>
      </c>
      <c r="K4" s="103">
        <v>46321.0</v>
      </c>
      <c r="L4" s="103">
        <v>46352.0</v>
      </c>
      <c r="M4" s="103">
        <v>46382.0</v>
      </c>
      <c r="N4" s="102" t="s">
        <v>352</v>
      </c>
      <c r="O4" s="105"/>
      <c r="P4" s="104"/>
      <c r="Q4" s="105"/>
      <c r="R4" s="104"/>
      <c r="S4" s="117" t="s">
        <v>426</v>
      </c>
      <c r="T4" s="118">
        <v>1543921.0</v>
      </c>
      <c r="U4" s="118">
        <v>1626028.0</v>
      </c>
      <c r="V4" s="118">
        <v>1476552.0</v>
      </c>
      <c r="W4" s="118">
        <v>1678366.0</v>
      </c>
      <c r="X4" s="118">
        <v>1681693.0</v>
      </c>
      <c r="Y4" s="118">
        <v>1744540.0</v>
      </c>
      <c r="Z4" s="119"/>
      <c r="AA4" s="119"/>
      <c r="AB4" s="119"/>
      <c r="AC4" s="119"/>
      <c r="AD4" s="119"/>
      <c r="AE4" s="119"/>
      <c r="AF4" s="118">
        <v>9751100.0</v>
      </c>
      <c r="AG4" s="111"/>
      <c r="AH4" s="148" t="s">
        <v>435</v>
      </c>
      <c r="AI4" s="150" t="s">
        <v>436</v>
      </c>
      <c r="AJ4" s="151">
        <v>-1600252.0</v>
      </c>
      <c r="AK4" s="152">
        <v>-0.51</v>
      </c>
      <c r="AL4" s="152">
        <v>1.5</v>
      </c>
      <c r="AM4" s="111"/>
      <c r="AN4" s="124" t="s">
        <v>438</v>
      </c>
      <c r="AO4" s="118" t="s">
        <v>439</v>
      </c>
      <c r="AP4" s="125" t="s">
        <v>440</v>
      </c>
      <c r="AQ4" s="125" t="s">
        <v>441</v>
      </c>
      <c r="AR4" s="125" t="s">
        <v>442</v>
      </c>
      <c r="AS4" s="125" t="s">
        <v>443</v>
      </c>
      <c r="AT4" s="126">
        <v>0.006</v>
      </c>
    </row>
    <row r="5" ht="14.25" customHeight="1">
      <c r="A5" s="114" t="s">
        <v>376</v>
      </c>
      <c r="B5" s="115">
        <v>2002000.0</v>
      </c>
      <c r="C5" s="115">
        <v>1978000.0</v>
      </c>
      <c r="D5" s="115">
        <v>2026024.0</v>
      </c>
      <c r="E5" s="116">
        <v>2040206.0</v>
      </c>
      <c r="F5" s="115">
        <v>2064689.0</v>
      </c>
      <c r="G5" s="115">
        <v>2081206.0</v>
      </c>
      <c r="H5" s="115">
        <v>2072881.0</v>
      </c>
      <c r="I5" s="115">
        <v>2124703.0</v>
      </c>
      <c r="J5" s="115">
        <v>2145950.0</v>
      </c>
      <c r="K5" s="115">
        <v>2171702.0</v>
      </c>
      <c r="L5" s="115">
        <v>2193419.0</v>
      </c>
      <c r="M5" s="116">
        <v>2164904.0</v>
      </c>
      <c r="N5" s="115">
        <v>2.5065684E7</v>
      </c>
      <c r="O5" s="153"/>
      <c r="P5" s="104"/>
      <c r="Q5" s="105"/>
      <c r="R5" s="104"/>
      <c r="S5" s="131" t="s">
        <v>451</v>
      </c>
      <c r="T5" s="132">
        <v>898717.0</v>
      </c>
      <c r="U5" s="132">
        <v>1041630.0</v>
      </c>
      <c r="V5" s="132">
        <v>916622.0</v>
      </c>
      <c r="W5" s="132">
        <v>1067276.0</v>
      </c>
      <c r="X5" s="132">
        <v>1143335.0</v>
      </c>
      <c r="Y5" s="132">
        <v>1158821.0</v>
      </c>
      <c r="Z5" s="134"/>
      <c r="AA5" s="134"/>
      <c r="AB5" s="134"/>
      <c r="AC5" s="134"/>
      <c r="AD5" s="134"/>
      <c r="AE5" s="134"/>
      <c r="AF5" s="132">
        <v>6211627.0</v>
      </c>
      <c r="AG5" s="127"/>
      <c r="AH5" s="156"/>
      <c r="AI5" s="157" t="s">
        <v>151</v>
      </c>
      <c r="AJ5" s="158">
        <v>3113863.0</v>
      </c>
      <c r="AK5" s="159"/>
      <c r="AL5" s="160"/>
      <c r="AM5" s="111"/>
      <c r="AN5" s="140" t="s">
        <v>99</v>
      </c>
      <c r="AO5" s="132" t="s">
        <v>456</v>
      </c>
      <c r="AP5" s="141" t="s">
        <v>457</v>
      </c>
      <c r="AQ5" s="141" t="s">
        <v>458</v>
      </c>
      <c r="AR5" s="141" t="s">
        <v>459</v>
      </c>
      <c r="AS5" s="141" t="s">
        <v>460</v>
      </c>
      <c r="AT5" s="142">
        <v>0.137</v>
      </c>
    </row>
    <row r="6" ht="14.25" customHeight="1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61"/>
      <c r="P6" s="104"/>
      <c r="Q6" s="104"/>
      <c r="R6" s="104"/>
      <c r="S6" s="117" t="s">
        <v>462</v>
      </c>
      <c r="T6" s="118">
        <v>645204.0</v>
      </c>
      <c r="U6" s="118">
        <v>584398.0</v>
      </c>
      <c r="V6" s="118">
        <v>559930.0</v>
      </c>
      <c r="W6" s="118">
        <v>611089.0</v>
      </c>
      <c r="X6" s="118">
        <v>538358.0</v>
      </c>
      <c r="Y6" s="118">
        <v>585720.0</v>
      </c>
      <c r="Z6" s="119"/>
      <c r="AA6" s="119"/>
      <c r="AB6" s="119"/>
      <c r="AC6" s="119"/>
      <c r="AD6" s="119"/>
      <c r="AE6" s="119"/>
      <c r="AF6" s="118">
        <v>3539474.0</v>
      </c>
      <c r="AG6" s="111"/>
      <c r="AH6" s="164" t="s">
        <v>464</v>
      </c>
      <c r="AI6" s="121" t="s">
        <v>465</v>
      </c>
      <c r="AJ6" s="165">
        <v>3066934.0</v>
      </c>
      <c r="AK6" s="123">
        <v>5.41</v>
      </c>
      <c r="AL6" s="123">
        <v>4.04</v>
      </c>
      <c r="AM6" s="111"/>
      <c r="AN6" s="124" t="s">
        <v>105</v>
      </c>
      <c r="AO6" s="126">
        <v>0.205</v>
      </c>
      <c r="AP6" s="126">
        <v>0.186</v>
      </c>
      <c r="AQ6" s="126">
        <v>0.172</v>
      </c>
      <c r="AR6" s="125" t="s">
        <v>466</v>
      </c>
      <c r="AS6" s="125" t="s">
        <v>467</v>
      </c>
      <c r="AT6" s="166" t="str">
        <f>+1,4 p.p.</f>
        <v>#ERROR!</v>
      </c>
    </row>
    <row r="7" ht="14.25" customHeight="1">
      <c r="A7" s="167" t="s">
        <v>470</v>
      </c>
      <c r="B7" s="168" t="s">
        <v>472</v>
      </c>
      <c r="C7" s="168" t="s">
        <v>473</v>
      </c>
      <c r="D7" s="168" t="s">
        <v>474</v>
      </c>
      <c r="E7" s="168" t="s">
        <v>475</v>
      </c>
      <c r="F7" s="168" t="s">
        <v>476</v>
      </c>
      <c r="G7" s="168" t="s">
        <v>477</v>
      </c>
      <c r="H7" s="168" t="s">
        <v>478</v>
      </c>
      <c r="I7" s="168" t="s">
        <v>479</v>
      </c>
      <c r="J7" s="168" t="s">
        <v>480</v>
      </c>
      <c r="K7" s="168" t="s">
        <v>481</v>
      </c>
      <c r="L7" s="168" t="s">
        <v>482</v>
      </c>
      <c r="M7" s="168" t="s">
        <v>483</v>
      </c>
      <c r="N7" s="169" t="s">
        <v>30</v>
      </c>
      <c r="O7" s="161"/>
      <c r="P7" s="170">
        <v>2025.0</v>
      </c>
      <c r="Q7" s="171">
        <v>2026.0</v>
      </c>
      <c r="R7" s="104"/>
      <c r="S7" s="131" t="s">
        <v>486</v>
      </c>
      <c r="T7" s="132">
        <v>529504.0</v>
      </c>
      <c r="U7" s="132">
        <v>497919.0</v>
      </c>
      <c r="V7" s="132">
        <v>501983.0</v>
      </c>
      <c r="W7" s="132">
        <v>506221.0</v>
      </c>
      <c r="X7" s="132">
        <v>500640.0</v>
      </c>
      <c r="Y7" s="132">
        <v>606033.0</v>
      </c>
      <c r="Z7" s="134"/>
      <c r="AA7" s="134"/>
      <c r="AB7" s="134"/>
      <c r="AC7" s="134"/>
      <c r="AD7" s="134"/>
      <c r="AE7" s="134"/>
      <c r="AF7" s="132">
        <v>3163940.0</v>
      </c>
      <c r="AG7" s="127"/>
      <c r="AH7" s="172"/>
      <c r="AI7" s="136" t="s">
        <v>489</v>
      </c>
      <c r="AJ7" s="173">
        <v>566667.0</v>
      </c>
      <c r="AK7" s="138"/>
      <c r="AL7" s="139"/>
      <c r="AM7" s="111"/>
      <c r="AN7" s="174"/>
      <c r="AO7" s="174"/>
      <c r="AP7" s="175"/>
      <c r="AQ7" s="175"/>
      <c r="AR7" s="175"/>
      <c r="AS7" s="175"/>
      <c r="AT7" s="175"/>
    </row>
    <row r="8" ht="14.25" customHeight="1">
      <c r="A8" s="176">
        <v>2025.0</v>
      </c>
      <c r="B8" s="177">
        <v>1471176.0</v>
      </c>
      <c r="C8" s="177">
        <v>1585603.0</v>
      </c>
      <c r="D8" s="177">
        <v>1362786.0</v>
      </c>
      <c r="E8" s="177">
        <v>1787006.0</v>
      </c>
      <c r="F8" s="177">
        <v>1640962.0</v>
      </c>
      <c r="G8" s="177">
        <v>1787216.0</v>
      </c>
      <c r="H8" s="177">
        <v>1900182.0</v>
      </c>
      <c r="I8" s="177">
        <v>2002064.0</v>
      </c>
      <c r="J8" s="177">
        <v>1904134.0</v>
      </c>
      <c r="K8" s="177">
        <v>2035135.0</v>
      </c>
      <c r="L8" s="177">
        <v>2009373.0</v>
      </c>
      <c r="M8" s="177">
        <v>1868483.0</v>
      </c>
      <c r="N8" s="178">
        <v>2.1354119E7</v>
      </c>
      <c r="O8" s="179"/>
      <c r="P8" s="115">
        <v>9634748.0</v>
      </c>
      <c r="Q8" s="115">
        <v>1.0445742E7</v>
      </c>
      <c r="R8" s="104"/>
      <c r="S8" s="117" t="s">
        <v>78</v>
      </c>
      <c r="T8" s="118">
        <v>837207.0</v>
      </c>
      <c r="U8" s="118">
        <v>541200.0</v>
      </c>
      <c r="V8" s="118">
        <v>425179.0</v>
      </c>
      <c r="W8" s="118">
        <v>506221.0</v>
      </c>
      <c r="X8" s="118">
        <v>120608.0</v>
      </c>
      <c r="Y8" s="118">
        <v>554478.0</v>
      </c>
      <c r="Z8" s="119"/>
      <c r="AA8" s="119"/>
      <c r="AB8" s="119"/>
      <c r="AC8" s="119"/>
      <c r="AD8" s="119"/>
      <c r="AE8" s="119"/>
      <c r="AF8" s="118">
        <v>3066934.0</v>
      </c>
      <c r="AG8" s="111"/>
      <c r="AH8" s="174"/>
      <c r="AI8" s="174"/>
      <c r="AJ8" s="175"/>
      <c r="AK8" s="127"/>
      <c r="AL8" s="127"/>
      <c r="AM8" s="127"/>
      <c r="AN8" s="127"/>
      <c r="AO8" s="127"/>
      <c r="AP8" s="127"/>
      <c r="AQ8" s="127"/>
      <c r="AR8" s="127"/>
      <c r="AS8" s="127"/>
      <c r="AT8" s="127"/>
    </row>
    <row r="9" ht="14.25" customHeight="1">
      <c r="A9" s="180">
        <v>2026.0</v>
      </c>
      <c r="B9" s="171">
        <v>1653906.0</v>
      </c>
      <c r="C9" s="171">
        <v>1741861.0</v>
      </c>
      <c r="D9" s="171">
        <v>1581738.0</v>
      </c>
      <c r="E9" s="171">
        <v>1797928.0</v>
      </c>
      <c r="F9" s="171">
        <v>1801493.0</v>
      </c>
      <c r="G9" s="171">
        <v>1868817.0</v>
      </c>
      <c r="H9" s="105"/>
      <c r="I9" s="105"/>
      <c r="J9" s="105"/>
      <c r="K9" s="105"/>
      <c r="L9" s="105"/>
      <c r="M9" s="105"/>
      <c r="N9" s="171">
        <v>8576926.0</v>
      </c>
      <c r="O9" s="179"/>
      <c r="P9" s="105"/>
      <c r="Q9" s="105"/>
      <c r="R9" s="104"/>
      <c r="S9" s="131" t="s">
        <v>495</v>
      </c>
      <c r="T9" s="132">
        <v>365837.0</v>
      </c>
      <c r="U9" s="132">
        <v>541200.0</v>
      </c>
      <c r="V9" s="132">
        <v>425179.0</v>
      </c>
      <c r="W9" s="132">
        <v>506221.0</v>
      </c>
      <c r="X9" s="132">
        <v>120608.0</v>
      </c>
      <c r="Y9" s="132">
        <v>554478.0</v>
      </c>
      <c r="Z9" s="134"/>
      <c r="AA9" s="134"/>
      <c r="AB9" s="134"/>
      <c r="AC9" s="134"/>
      <c r="AD9" s="134"/>
      <c r="AE9" s="134"/>
      <c r="AF9" s="132">
        <v>3066934.0</v>
      </c>
      <c r="AG9" s="127"/>
      <c r="AH9" s="174"/>
      <c r="AI9" s="174"/>
      <c r="AJ9" s="175"/>
      <c r="AK9" s="127"/>
      <c r="AL9" s="127"/>
      <c r="AM9" s="127"/>
      <c r="AN9" s="127"/>
      <c r="AO9" s="127"/>
      <c r="AP9" s="127"/>
      <c r="AQ9" s="127"/>
      <c r="AR9" s="127"/>
      <c r="AS9" s="127"/>
      <c r="AT9" s="127"/>
    </row>
    <row r="10" ht="14.25" customHeight="1">
      <c r="A10" s="181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79"/>
      <c r="P10" s="182"/>
      <c r="Q10" s="105"/>
      <c r="R10" s="104"/>
      <c r="S10" s="117" t="s">
        <v>498</v>
      </c>
      <c r="T10" s="118">
        <v>263550.0</v>
      </c>
      <c r="U10" s="118">
        <v>432514.0</v>
      </c>
      <c r="V10" s="118">
        <v>287256.0</v>
      </c>
      <c r="W10" s="118">
        <v>450937.0</v>
      </c>
      <c r="X10" s="118">
        <v>527719.0</v>
      </c>
      <c r="Y10" s="118">
        <v>400191.0</v>
      </c>
      <c r="Z10" s="119"/>
      <c r="AA10" s="119"/>
      <c r="AB10" s="119"/>
      <c r="AC10" s="119"/>
      <c r="AD10" s="119"/>
      <c r="AE10" s="119"/>
      <c r="AF10" s="118">
        <v>2325755.0</v>
      </c>
      <c r="AG10" s="111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</row>
    <row r="11" ht="14.25" customHeight="1">
      <c r="A11" s="102" t="s">
        <v>470</v>
      </c>
      <c r="B11" s="185" t="s">
        <v>472</v>
      </c>
      <c r="C11" s="185" t="s">
        <v>473</v>
      </c>
      <c r="D11" s="185" t="s">
        <v>474</v>
      </c>
      <c r="E11" s="185" t="s">
        <v>475</v>
      </c>
      <c r="F11" s="185" t="s">
        <v>476</v>
      </c>
      <c r="G11" s="185" t="s">
        <v>477</v>
      </c>
      <c r="H11" s="185" t="s">
        <v>478</v>
      </c>
      <c r="I11" s="185" t="s">
        <v>479</v>
      </c>
      <c r="J11" s="185" t="s">
        <v>480</v>
      </c>
      <c r="K11" s="185" t="s">
        <v>481</v>
      </c>
      <c r="L11" s="185" t="s">
        <v>482</v>
      </c>
      <c r="M11" s="185" t="s">
        <v>483</v>
      </c>
      <c r="N11" s="185" t="s">
        <v>30</v>
      </c>
      <c r="O11" s="179"/>
      <c r="P11" s="171"/>
      <c r="Q11" s="105"/>
      <c r="R11" s="104"/>
      <c r="S11" s="104"/>
      <c r="T11" s="187"/>
      <c r="U11" s="189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</row>
    <row r="12" ht="14.25" customHeight="1">
      <c r="A12" s="114" t="s">
        <v>505</v>
      </c>
      <c r="B12" s="115">
        <v>3740.0</v>
      </c>
      <c r="C12" s="115">
        <v>1700.0</v>
      </c>
      <c r="D12" s="115">
        <v>1700.0</v>
      </c>
      <c r="E12" s="115">
        <v>5950.0</v>
      </c>
      <c r="F12" s="115">
        <v>6545.0</v>
      </c>
      <c r="G12" s="115" t="s">
        <v>507</v>
      </c>
      <c r="H12" s="192"/>
      <c r="I12" s="192"/>
      <c r="J12" s="192"/>
      <c r="K12" s="192"/>
      <c r="L12" s="192"/>
      <c r="M12" s="192"/>
      <c r="N12" s="115">
        <v>19635.0</v>
      </c>
      <c r="O12" s="179"/>
      <c r="P12" s="171"/>
      <c r="Q12" s="105"/>
      <c r="R12" s="104"/>
      <c r="S12" s="106" t="s">
        <v>355</v>
      </c>
      <c r="T12" s="108" t="s">
        <v>4</v>
      </c>
      <c r="U12" s="108" t="s">
        <v>6</v>
      </c>
      <c r="V12" s="108" t="s">
        <v>7</v>
      </c>
      <c r="W12" s="108" t="s">
        <v>9</v>
      </c>
      <c r="X12" s="108" t="s">
        <v>10</v>
      </c>
      <c r="Y12" s="108" t="s">
        <v>12</v>
      </c>
      <c r="Z12" s="108" t="s">
        <v>14</v>
      </c>
      <c r="AA12" s="108" t="s">
        <v>16</v>
      </c>
      <c r="AB12" s="108" t="s">
        <v>18</v>
      </c>
      <c r="AC12" s="108" t="s">
        <v>19</v>
      </c>
      <c r="AD12" s="108" t="s">
        <v>20</v>
      </c>
      <c r="AE12" s="108" t="s">
        <v>21</v>
      </c>
      <c r="AF12" s="108" t="s">
        <v>30</v>
      </c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  <c r="AQ12" s="127"/>
      <c r="AR12" s="127"/>
      <c r="AS12" s="127"/>
      <c r="AT12" s="127"/>
    </row>
    <row r="13" ht="14.25" customHeight="1">
      <c r="A13" s="195" t="s">
        <v>511</v>
      </c>
      <c r="B13" s="171">
        <v>34935.0</v>
      </c>
      <c r="C13" s="171">
        <v>28495.0</v>
      </c>
      <c r="D13" s="171">
        <v>23375.0</v>
      </c>
      <c r="E13" s="171">
        <v>32045.0</v>
      </c>
      <c r="F13" s="171">
        <v>25755.0</v>
      </c>
      <c r="G13" s="171">
        <v>29920.0</v>
      </c>
      <c r="H13" s="105"/>
      <c r="I13" s="105"/>
      <c r="J13" s="105"/>
      <c r="K13" s="105"/>
      <c r="L13" s="105"/>
      <c r="M13" s="105"/>
      <c r="N13" s="171">
        <v>144605.0</v>
      </c>
      <c r="O13" s="179"/>
      <c r="P13" s="105"/>
      <c r="Q13" s="105"/>
      <c r="R13" s="104"/>
      <c r="S13" s="117" t="s">
        <v>411</v>
      </c>
      <c r="T13" s="196">
        <v>0.17</v>
      </c>
      <c r="U13" s="196">
        <v>0.27</v>
      </c>
      <c r="V13" s="196">
        <v>0.19</v>
      </c>
      <c r="W13" s="196">
        <v>0.27</v>
      </c>
      <c r="X13" s="196">
        <v>0.31</v>
      </c>
      <c r="Y13" s="196">
        <v>0.23</v>
      </c>
      <c r="Z13" s="197"/>
      <c r="AA13" s="197"/>
      <c r="AB13" s="197"/>
      <c r="AC13" s="197"/>
      <c r="AD13" s="197"/>
      <c r="AE13" s="197"/>
      <c r="AF13" s="196">
        <v>0.24</v>
      </c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</row>
    <row r="14" ht="14.25" customHeight="1">
      <c r="A14" s="114" t="s">
        <v>516</v>
      </c>
      <c r="B14" s="115">
        <v>3926.0</v>
      </c>
      <c r="C14" s="115">
        <v>3750.0</v>
      </c>
      <c r="D14" s="115">
        <v>3424.0</v>
      </c>
      <c r="E14" s="115">
        <v>3995.0</v>
      </c>
      <c r="F14" s="115">
        <v>2427.0</v>
      </c>
      <c r="G14" s="115">
        <v>4033.0</v>
      </c>
      <c r="H14" s="192"/>
      <c r="I14" s="192"/>
      <c r="J14" s="192"/>
      <c r="K14" s="192"/>
      <c r="L14" s="192"/>
      <c r="M14" s="192"/>
      <c r="N14" s="115">
        <v>17522.0</v>
      </c>
      <c r="O14" s="179"/>
      <c r="P14" s="105"/>
      <c r="Q14" s="105"/>
      <c r="R14" s="104"/>
      <c r="S14" s="131" t="s">
        <v>151</v>
      </c>
      <c r="T14" s="199">
        <v>373445.0</v>
      </c>
      <c r="U14" s="199">
        <v>548991.0</v>
      </c>
      <c r="V14" s="199">
        <v>433017.0</v>
      </c>
      <c r="W14" s="199">
        <v>576196.0</v>
      </c>
      <c r="X14" s="199">
        <v>656238.0</v>
      </c>
      <c r="Y14" s="199">
        <v>562389.0</v>
      </c>
      <c r="Z14" s="200"/>
      <c r="AA14" s="200"/>
      <c r="AB14" s="200"/>
      <c r="AC14" s="200"/>
      <c r="AD14" s="200"/>
      <c r="AE14" s="200"/>
      <c r="AF14" s="199">
        <v>3113863.0</v>
      </c>
      <c r="AG14" s="127"/>
      <c r="AH14" s="201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</row>
    <row r="15" ht="14.25" customHeight="1">
      <c r="A15" s="195" t="s">
        <v>519</v>
      </c>
      <c r="B15" s="171">
        <v>55439.0</v>
      </c>
      <c r="C15" s="171" t="s">
        <v>507</v>
      </c>
      <c r="D15" s="171">
        <v>31170.0</v>
      </c>
      <c r="E15" s="171">
        <v>8747.0</v>
      </c>
      <c r="F15" s="105"/>
      <c r="G15" s="171">
        <v>27486.0</v>
      </c>
      <c r="H15" s="105"/>
      <c r="I15" s="105"/>
      <c r="J15" s="105"/>
      <c r="K15" s="105"/>
      <c r="L15" s="105"/>
      <c r="M15" s="105"/>
      <c r="N15" s="171">
        <v>95356.0</v>
      </c>
      <c r="O15" s="179"/>
      <c r="P15" s="105"/>
      <c r="Q15" s="105"/>
      <c r="R15" s="104"/>
      <c r="S15" s="117" t="s">
        <v>437</v>
      </c>
      <c r="T15" s="196">
        <v>0.24</v>
      </c>
      <c r="U15" s="196">
        <v>0.34</v>
      </c>
      <c r="V15" s="196">
        <v>0.29</v>
      </c>
      <c r="W15" s="196">
        <v>0.34</v>
      </c>
      <c r="X15" s="196">
        <v>0.39</v>
      </c>
      <c r="Y15" s="196">
        <v>0.32</v>
      </c>
      <c r="Z15" s="119"/>
      <c r="AA15" s="119"/>
      <c r="AB15" s="119"/>
      <c r="AC15" s="119"/>
      <c r="AD15" s="119"/>
      <c r="AE15" s="119"/>
      <c r="AF15" s="196">
        <v>0.32</v>
      </c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</row>
    <row r="16" ht="14.25" customHeight="1">
      <c r="A16" s="114" t="s">
        <v>524</v>
      </c>
      <c r="B16" s="115">
        <v>43039.0</v>
      </c>
      <c r="C16" s="115" t="s">
        <v>507</v>
      </c>
      <c r="D16" s="115">
        <v>40947.0</v>
      </c>
      <c r="E16" s="115">
        <v>71723.0</v>
      </c>
      <c r="F16" s="115">
        <v>37320.0</v>
      </c>
      <c r="G16" s="192"/>
      <c r="H16" s="192"/>
      <c r="I16" s="192"/>
      <c r="J16" s="192"/>
      <c r="K16" s="192"/>
      <c r="L16" s="192"/>
      <c r="M16" s="192"/>
      <c r="N16" s="115">
        <v>193029.0</v>
      </c>
      <c r="O16" s="179"/>
      <c r="P16" s="105"/>
      <c r="Q16" s="105"/>
      <c r="R16" s="104"/>
      <c r="S16" s="131" t="s">
        <v>122</v>
      </c>
      <c r="T16" s="203">
        <v>0.34</v>
      </c>
      <c r="U16" s="203">
        <v>0.31</v>
      </c>
      <c r="V16" s="203">
        <v>0.34</v>
      </c>
      <c r="W16" s="203">
        <v>0.3</v>
      </c>
      <c r="X16" s="203">
        <v>0.3</v>
      </c>
      <c r="Y16" s="203">
        <v>0.35</v>
      </c>
      <c r="Z16" s="200"/>
      <c r="AA16" s="200"/>
      <c r="AB16" s="200"/>
      <c r="AC16" s="200"/>
      <c r="AD16" s="200"/>
      <c r="AE16" s="200"/>
      <c r="AF16" s="203">
        <v>0.32</v>
      </c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</row>
    <row r="17" ht="14.25" customHeight="1">
      <c r="A17" s="195" t="s">
        <v>534</v>
      </c>
      <c r="B17" s="171">
        <v>2035.0</v>
      </c>
      <c r="C17" s="171">
        <v>2870.0</v>
      </c>
      <c r="D17" s="171">
        <v>1440.0</v>
      </c>
      <c r="E17" s="171">
        <v>1310.0</v>
      </c>
      <c r="F17" s="171">
        <v>1740.0</v>
      </c>
      <c r="G17" s="171">
        <v>4456.0</v>
      </c>
      <c r="H17" s="105"/>
      <c r="I17" s="105"/>
      <c r="J17" s="105"/>
      <c r="K17" s="105"/>
      <c r="L17" s="105"/>
      <c r="M17" s="105"/>
      <c r="N17" s="171">
        <v>9395.0</v>
      </c>
      <c r="O17" s="105"/>
      <c r="P17" s="105"/>
      <c r="Q17" s="105"/>
      <c r="R17" s="104"/>
      <c r="S17" s="117" t="s">
        <v>455</v>
      </c>
      <c r="T17" s="196">
        <v>0.58</v>
      </c>
      <c r="U17" s="196">
        <v>0.64</v>
      </c>
      <c r="V17" s="196">
        <v>0.62</v>
      </c>
      <c r="W17" s="196">
        <v>0.64</v>
      </c>
      <c r="X17" s="196">
        <v>0.68</v>
      </c>
      <c r="Y17" s="196">
        <v>0.66</v>
      </c>
      <c r="Z17" s="204"/>
      <c r="AA17" s="204"/>
      <c r="AB17" s="204"/>
      <c r="AC17" s="204"/>
      <c r="AD17" s="204"/>
      <c r="AE17" s="204"/>
      <c r="AF17" s="196">
        <v>0.64</v>
      </c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</row>
    <row r="18" ht="14.25" customHeight="1">
      <c r="A18" s="114" t="s">
        <v>542</v>
      </c>
      <c r="B18" s="115">
        <v>39900.0</v>
      </c>
      <c r="C18" s="115" t="s">
        <v>507</v>
      </c>
      <c r="D18" s="115">
        <v>1100.0</v>
      </c>
      <c r="E18" s="115">
        <v>1400.0</v>
      </c>
      <c r="F18" s="115">
        <v>1100.0</v>
      </c>
      <c r="G18" s="115">
        <v>1200.0</v>
      </c>
      <c r="H18" s="192"/>
      <c r="I18" s="192"/>
      <c r="J18" s="192"/>
      <c r="K18" s="192"/>
      <c r="L18" s="192"/>
      <c r="M18" s="192"/>
      <c r="N18" s="115">
        <v>43500.0</v>
      </c>
      <c r="O18" s="105"/>
      <c r="P18" s="161"/>
      <c r="Q18" s="105"/>
      <c r="R18" s="104"/>
      <c r="S18" s="181"/>
      <c r="T18" s="205"/>
      <c r="U18" s="205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</row>
    <row r="19" ht="14.25" customHeight="1">
      <c r="A19" s="195" t="s">
        <v>552</v>
      </c>
      <c r="B19" s="171">
        <v>7638.0</v>
      </c>
      <c r="C19" s="171">
        <v>6524.0</v>
      </c>
      <c r="D19" s="171">
        <v>4772.0</v>
      </c>
      <c r="E19" s="171">
        <v>4237.0</v>
      </c>
      <c r="F19" s="171">
        <v>7626.0</v>
      </c>
      <c r="G19" s="171">
        <v>4406.0</v>
      </c>
      <c r="H19" s="105"/>
      <c r="I19" s="105"/>
      <c r="J19" s="105"/>
      <c r="K19" s="105"/>
      <c r="L19" s="105"/>
      <c r="M19" s="105"/>
      <c r="N19" s="171">
        <v>30797.0</v>
      </c>
      <c r="O19" s="179"/>
      <c r="P19" s="179"/>
      <c r="Q19" s="105"/>
      <c r="R19" s="104"/>
      <c r="S19" s="206" t="s">
        <v>553</v>
      </c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</row>
    <row r="20" ht="14.25" customHeight="1">
      <c r="A20" s="114" t="s">
        <v>556</v>
      </c>
      <c r="B20" s="115">
        <v>1463254.0</v>
      </c>
      <c r="C20" s="115">
        <v>1706327.0</v>
      </c>
      <c r="D20" s="115">
        <v>1473810.0</v>
      </c>
      <c r="E20" s="115">
        <v>1668521.0</v>
      </c>
      <c r="F20" s="115">
        <v>1718979.0</v>
      </c>
      <c r="G20" s="208">
        <v>1797315.0</v>
      </c>
      <c r="H20" s="192"/>
      <c r="I20" s="192"/>
      <c r="J20" s="192"/>
      <c r="K20" s="192"/>
      <c r="L20" s="192"/>
      <c r="M20" s="192"/>
      <c r="N20" s="115">
        <v>8030891.0</v>
      </c>
      <c r="O20" s="161"/>
      <c r="P20" s="161"/>
      <c r="Q20" s="105"/>
      <c r="R20" s="104"/>
      <c r="S20" s="106" t="s">
        <v>355</v>
      </c>
      <c r="T20" s="113" t="s">
        <v>4</v>
      </c>
      <c r="U20" s="113" t="s">
        <v>6</v>
      </c>
      <c r="V20" s="113" t="s">
        <v>7</v>
      </c>
      <c r="W20" s="113" t="s">
        <v>9</v>
      </c>
      <c r="X20" s="113" t="s">
        <v>10</v>
      </c>
      <c r="Y20" s="113" t="s">
        <v>12</v>
      </c>
      <c r="Z20" s="113" t="s">
        <v>14</v>
      </c>
      <c r="AA20" s="113" t="s">
        <v>16</v>
      </c>
      <c r="AB20" s="113" t="s">
        <v>18</v>
      </c>
      <c r="AC20" s="113" t="s">
        <v>19</v>
      </c>
      <c r="AD20" s="113" t="s">
        <v>20</v>
      </c>
      <c r="AE20" s="113" t="s">
        <v>21</v>
      </c>
      <c r="AF20" s="113" t="s">
        <v>30</v>
      </c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</row>
    <row r="21" ht="14.25" customHeight="1">
      <c r="A21" s="209" t="s">
        <v>376</v>
      </c>
      <c r="B21" s="171">
        <v>1653906.0</v>
      </c>
      <c r="C21" s="171">
        <v>1741861.0</v>
      </c>
      <c r="D21" s="171">
        <v>1581738.0</v>
      </c>
      <c r="E21" s="171">
        <v>1797928.0</v>
      </c>
      <c r="F21" s="171">
        <v>1801493.0</v>
      </c>
      <c r="G21" s="171">
        <v>1868817.0</v>
      </c>
      <c r="H21" s="105"/>
      <c r="I21" s="105"/>
      <c r="J21" s="105"/>
      <c r="K21" s="105"/>
      <c r="L21" s="105"/>
      <c r="M21" s="105"/>
      <c r="N21" s="171">
        <v>8576926.0</v>
      </c>
      <c r="O21" s="105"/>
      <c r="P21" s="105"/>
      <c r="Q21" s="105"/>
      <c r="R21" s="104"/>
      <c r="S21" s="117" t="s">
        <v>385</v>
      </c>
      <c r="T21" s="210">
        <v>1653906.0</v>
      </c>
      <c r="U21" s="210">
        <v>1741862.0</v>
      </c>
      <c r="V21" s="210">
        <v>1581738.0</v>
      </c>
      <c r="W21" s="211">
        <v>1927000.0</v>
      </c>
      <c r="X21" s="211">
        <v>1995000.0</v>
      </c>
      <c r="Y21" s="211">
        <v>1990000.0</v>
      </c>
      <c r="Z21" s="211">
        <v>2031000.0</v>
      </c>
      <c r="AA21" s="211">
        <v>2152000.0</v>
      </c>
      <c r="AB21" s="211">
        <v>2233000.0</v>
      </c>
      <c r="AC21" s="211">
        <v>2279000.0</v>
      </c>
      <c r="AD21" s="211">
        <v>2250000.0</v>
      </c>
      <c r="AE21" s="211">
        <v>2093000.0</v>
      </c>
      <c r="AF21" s="211">
        <v>2.3927505E7</v>
      </c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</row>
    <row r="22" ht="14.25" customHeight="1">
      <c r="A22" s="212" t="s">
        <v>563</v>
      </c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181"/>
      <c r="P22" s="105"/>
      <c r="Q22" s="105"/>
      <c r="R22" s="104"/>
      <c r="S22" s="131" t="s">
        <v>401</v>
      </c>
      <c r="T22" s="199">
        <v>109985.0</v>
      </c>
      <c r="U22" s="199">
        <v>115834.0</v>
      </c>
      <c r="V22" s="199">
        <v>105186.0</v>
      </c>
      <c r="W22" s="214">
        <v>128146.0</v>
      </c>
      <c r="X22" s="214">
        <v>132668.0</v>
      </c>
      <c r="Y22" s="214">
        <v>132335.0</v>
      </c>
      <c r="Z22" s="214">
        <v>135062.0</v>
      </c>
      <c r="AA22" s="214">
        <v>143108.0</v>
      </c>
      <c r="AB22" s="214">
        <v>148495.0</v>
      </c>
      <c r="AC22" s="214">
        <v>151554.0</v>
      </c>
      <c r="AD22" s="214">
        <v>149625.0</v>
      </c>
      <c r="AE22" s="214">
        <v>139185.0</v>
      </c>
      <c r="AF22" s="214">
        <v>1591179.0</v>
      </c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</row>
    <row r="23" ht="14.25" customHeight="1">
      <c r="A23" s="195" t="s">
        <v>566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71" t="s">
        <v>507</v>
      </c>
      <c r="O23" s="179"/>
      <c r="P23" s="105"/>
      <c r="Q23" s="105"/>
      <c r="R23" s="104"/>
      <c r="S23" s="117" t="s">
        <v>426</v>
      </c>
      <c r="T23" s="210">
        <v>1543921.0</v>
      </c>
      <c r="U23" s="210">
        <v>1626028.0</v>
      </c>
      <c r="V23" s="210">
        <v>1476552.0</v>
      </c>
      <c r="W23" s="211">
        <v>1798855.0</v>
      </c>
      <c r="X23" s="211">
        <v>1862333.0</v>
      </c>
      <c r="Y23" s="211">
        <v>1857665.0</v>
      </c>
      <c r="Z23" s="211">
        <v>1895939.0</v>
      </c>
      <c r="AA23" s="211">
        <v>2008892.0</v>
      </c>
      <c r="AB23" s="211">
        <v>2084506.0</v>
      </c>
      <c r="AC23" s="211">
        <v>2127447.0</v>
      </c>
      <c r="AD23" s="211">
        <v>2100375.0</v>
      </c>
      <c r="AE23" s="211">
        <v>1953816.0</v>
      </c>
      <c r="AF23" s="211">
        <v>2.2336326E7</v>
      </c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</row>
    <row r="24" ht="14.25" customHeight="1">
      <c r="A24" s="114" t="s">
        <v>569</v>
      </c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15" t="s">
        <v>507</v>
      </c>
      <c r="O24" s="179"/>
      <c r="P24" s="105"/>
      <c r="Q24" s="105"/>
      <c r="R24" s="104"/>
      <c r="S24" s="131" t="s">
        <v>451</v>
      </c>
      <c r="T24" s="199">
        <v>898717.0</v>
      </c>
      <c r="U24" s="199">
        <v>1041630.0</v>
      </c>
      <c r="V24" s="199">
        <v>916622.0</v>
      </c>
      <c r="W24" s="214">
        <v>1093704.0</v>
      </c>
      <c r="X24" s="214">
        <v>1132298.0</v>
      </c>
      <c r="Y24" s="214">
        <v>1129460.0</v>
      </c>
      <c r="Z24" s="214">
        <v>1152731.0</v>
      </c>
      <c r="AA24" s="214">
        <v>1221406.0</v>
      </c>
      <c r="AB24" s="214">
        <v>1267379.0</v>
      </c>
      <c r="AC24" s="214">
        <v>1293487.0</v>
      </c>
      <c r="AD24" s="214">
        <v>1277028.0</v>
      </c>
      <c r="AE24" s="214">
        <v>1187920.0</v>
      </c>
      <c r="AF24" s="214">
        <v>1.3612382E7</v>
      </c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</row>
    <row r="25" ht="14.25" customHeight="1">
      <c r="A25" s="181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79"/>
      <c r="P25" s="179"/>
      <c r="Q25" s="105"/>
      <c r="R25" s="104"/>
      <c r="S25" s="117" t="s">
        <v>462</v>
      </c>
      <c r="T25" s="210">
        <v>645204.0</v>
      </c>
      <c r="U25" s="210">
        <v>584398.0</v>
      </c>
      <c r="V25" s="210">
        <v>559930.0</v>
      </c>
      <c r="W25" s="211">
        <v>705151.0</v>
      </c>
      <c r="X25" s="211">
        <v>730034.0</v>
      </c>
      <c r="Y25" s="211">
        <v>728205.0</v>
      </c>
      <c r="Z25" s="211">
        <v>743208.0</v>
      </c>
      <c r="AA25" s="211">
        <v>787486.0</v>
      </c>
      <c r="AB25" s="211">
        <v>817126.0</v>
      </c>
      <c r="AC25" s="211">
        <v>833959.0</v>
      </c>
      <c r="AD25" s="211">
        <v>823347.0</v>
      </c>
      <c r="AE25" s="211">
        <v>765896.0</v>
      </c>
      <c r="AF25" s="211">
        <v>8723944.0</v>
      </c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</row>
    <row r="26" ht="14.25" customHeight="1">
      <c r="A26" s="102" t="s">
        <v>574</v>
      </c>
      <c r="B26" s="185" t="s">
        <v>472</v>
      </c>
      <c r="C26" s="185" t="s">
        <v>473</v>
      </c>
      <c r="D26" s="185" t="s">
        <v>474</v>
      </c>
      <c r="E26" s="185" t="s">
        <v>475</v>
      </c>
      <c r="F26" s="185" t="s">
        <v>476</v>
      </c>
      <c r="G26" s="185" t="s">
        <v>477</v>
      </c>
      <c r="H26" s="185" t="s">
        <v>478</v>
      </c>
      <c r="I26" s="185" t="s">
        <v>479</v>
      </c>
      <c r="J26" s="185" t="s">
        <v>480</v>
      </c>
      <c r="K26" s="185" t="s">
        <v>481</v>
      </c>
      <c r="L26" s="185" t="s">
        <v>482</v>
      </c>
      <c r="M26" s="185" t="s">
        <v>483</v>
      </c>
      <c r="N26" s="185" t="s">
        <v>577</v>
      </c>
      <c r="O26" s="102" t="s">
        <v>578</v>
      </c>
      <c r="P26" s="179"/>
      <c r="Q26" s="105"/>
      <c r="R26" s="104"/>
      <c r="S26" s="131" t="s">
        <v>486</v>
      </c>
      <c r="T26" s="199">
        <v>529504.0</v>
      </c>
      <c r="U26" s="199">
        <v>497919.0</v>
      </c>
      <c r="V26" s="199">
        <v>501983.0</v>
      </c>
      <c r="W26" s="214">
        <v>593622.0</v>
      </c>
      <c r="X26" s="214">
        <v>614570.0</v>
      </c>
      <c r="Y26" s="214">
        <v>613029.0</v>
      </c>
      <c r="Z26" s="214">
        <v>625660.0</v>
      </c>
      <c r="AA26" s="214">
        <v>662934.0</v>
      </c>
      <c r="AB26" s="214">
        <v>687887.0</v>
      </c>
      <c r="AC26" s="214">
        <v>702057.0</v>
      </c>
      <c r="AD26" s="214">
        <v>693124.0</v>
      </c>
      <c r="AE26" s="214">
        <v>644759.0</v>
      </c>
      <c r="AF26" s="214">
        <v>7367048.0</v>
      </c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</row>
    <row r="27" ht="14.25" customHeight="1">
      <c r="A27" s="114" t="s">
        <v>505</v>
      </c>
      <c r="B27" s="115">
        <v>935.0</v>
      </c>
      <c r="C27" s="115">
        <v>425.0</v>
      </c>
      <c r="D27" s="115">
        <v>425.0</v>
      </c>
      <c r="E27" s="115">
        <v>1190.0</v>
      </c>
      <c r="F27" s="115">
        <v>1309.0</v>
      </c>
      <c r="G27" s="115" t="s">
        <v>507</v>
      </c>
      <c r="H27" s="115" t="s">
        <v>507</v>
      </c>
      <c r="I27" s="115" t="s">
        <v>507</v>
      </c>
      <c r="J27" s="115" t="s">
        <v>507</v>
      </c>
      <c r="K27" s="115" t="s">
        <v>507</v>
      </c>
      <c r="L27" s="115" t="s">
        <v>507</v>
      </c>
      <c r="M27" s="115" t="s">
        <v>507</v>
      </c>
      <c r="N27" s="115">
        <v>857.0</v>
      </c>
      <c r="O27" s="215">
        <v>0.0019</v>
      </c>
      <c r="P27" s="179"/>
      <c r="Q27" s="104"/>
      <c r="R27" s="104"/>
      <c r="S27" s="117" t="s">
        <v>78</v>
      </c>
      <c r="T27" s="216">
        <v>365837.0</v>
      </c>
      <c r="U27" s="216">
        <v>541200.0</v>
      </c>
      <c r="V27" s="216">
        <v>425179.0</v>
      </c>
      <c r="W27" s="217">
        <v>513931.0</v>
      </c>
      <c r="X27" s="217">
        <v>532067.0</v>
      </c>
      <c r="Y27" s="217">
        <v>530733.0</v>
      </c>
      <c r="Z27" s="217">
        <v>541668.0</v>
      </c>
      <c r="AA27" s="217">
        <v>573938.0</v>
      </c>
      <c r="AB27" s="217">
        <v>595541.0</v>
      </c>
      <c r="AC27" s="217">
        <v>607809.0</v>
      </c>
      <c r="AD27" s="217">
        <v>600075.0</v>
      </c>
      <c r="AE27" s="217">
        <v>558203.0</v>
      </c>
      <c r="AF27" s="217">
        <v>6386180.0</v>
      </c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</row>
    <row r="28" ht="14.25" customHeight="1">
      <c r="A28" s="195" t="s">
        <v>511</v>
      </c>
      <c r="B28" s="171">
        <v>2911.0</v>
      </c>
      <c r="C28" s="171">
        <v>2192.0</v>
      </c>
      <c r="D28" s="171">
        <v>2125.0</v>
      </c>
      <c r="E28" s="171">
        <v>3205.0</v>
      </c>
      <c r="F28" s="171">
        <v>2146.0</v>
      </c>
      <c r="G28" s="171">
        <v>2302.0</v>
      </c>
      <c r="H28" s="171" t="s">
        <v>507</v>
      </c>
      <c r="I28" s="171" t="s">
        <v>507</v>
      </c>
      <c r="J28" s="171" t="s">
        <v>507</v>
      </c>
      <c r="K28" s="171" t="s">
        <v>507</v>
      </c>
      <c r="L28" s="171" t="s">
        <v>507</v>
      </c>
      <c r="M28" s="171" t="s">
        <v>507</v>
      </c>
      <c r="N28" s="171">
        <v>2480.0</v>
      </c>
      <c r="O28" s="218">
        <v>0.0167</v>
      </c>
      <c r="P28" s="179"/>
      <c r="Q28" s="104"/>
      <c r="R28" s="104"/>
      <c r="S28" s="131" t="s">
        <v>495</v>
      </c>
      <c r="T28" s="219">
        <v>365837.0</v>
      </c>
      <c r="U28" s="219">
        <v>541200.0</v>
      </c>
      <c r="V28" s="219">
        <v>425179.0</v>
      </c>
      <c r="W28" s="220">
        <v>513931.0</v>
      </c>
      <c r="X28" s="220">
        <v>532067.0</v>
      </c>
      <c r="Y28" s="220">
        <v>530733.0</v>
      </c>
      <c r="Z28" s="220">
        <v>541668.0</v>
      </c>
      <c r="AA28" s="220">
        <v>573938.0</v>
      </c>
      <c r="AB28" s="220">
        <v>595541.0</v>
      </c>
      <c r="AC28" s="220">
        <v>607809.0</v>
      </c>
      <c r="AD28" s="220">
        <v>600075.0</v>
      </c>
      <c r="AE28" s="220">
        <v>558203.0</v>
      </c>
      <c r="AF28" s="220">
        <v>6386180.0</v>
      </c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</row>
    <row r="29" ht="14.25" customHeight="1">
      <c r="A29" s="114" t="s">
        <v>516</v>
      </c>
      <c r="B29" s="115">
        <v>1963.0</v>
      </c>
      <c r="C29" s="115">
        <v>1875.0</v>
      </c>
      <c r="D29" s="115">
        <v>1712.0</v>
      </c>
      <c r="E29" s="115">
        <v>1998.0</v>
      </c>
      <c r="F29" s="115">
        <v>1214.0</v>
      </c>
      <c r="G29" s="115">
        <v>2016.0</v>
      </c>
      <c r="H29" s="115" t="s">
        <v>507</v>
      </c>
      <c r="I29" s="115" t="s">
        <v>507</v>
      </c>
      <c r="J29" s="115" t="s">
        <v>507</v>
      </c>
      <c r="K29" s="115" t="s">
        <v>507</v>
      </c>
      <c r="L29" s="115" t="s">
        <v>507</v>
      </c>
      <c r="M29" s="115" t="s">
        <v>507</v>
      </c>
      <c r="N29" s="115">
        <v>1796.0</v>
      </c>
      <c r="O29" s="215">
        <v>0.0021</v>
      </c>
      <c r="P29" s="179"/>
      <c r="Q29" s="104"/>
      <c r="R29" s="104"/>
      <c r="S29" s="117" t="s">
        <v>498</v>
      </c>
      <c r="T29" s="216">
        <v>263550.0</v>
      </c>
      <c r="U29" s="216">
        <v>432514.0</v>
      </c>
      <c r="V29" s="216">
        <v>287256.0</v>
      </c>
      <c r="W29" s="217">
        <v>328002.0</v>
      </c>
      <c r="X29" s="217">
        <v>351012.0</v>
      </c>
      <c r="Y29" s="217">
        <v>338725.0</v>
      </c>
      <c r="Z29" s="217">
        <v>345704.0</v>
      </c>
      <c r="AA29" s="217">
        <v>393293.0</v>
      </c>
      <c r="AB29" s="217">
        <v>380087.0</v>
      </c>
      <c r="AC29" s="217">
        <v>387917.0</v>
      </c>
      <c r="AD29" s="217">
        <v>382981.0</v>
      </c>
      <c r="AE29" s="217">
        <v>356257.0</v>
      </c>
      <c r="AF29" s="217">
        <v>4247298.0</v>
      </c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</row>
    <row r="30" ht="14.25" customHeight="1">
      <c r="A30" s="195" t="s">
        <v>519</v>
      </c>
      <c r="B30" s="171">
        <v>6160.0</v>
      </c>
      <c r="C30" s="171" t="s">
        <v>507</v>
      </c>
      <c r="D30" s="171">
        <v>3463.0</v>
      </c>
      <c r="E30" s="171">
        <v>1749.0</v>
      </c>
      <c r="F30" s="171" t="s">
        <v>507</v>
      </c>
      <c r="G30" s="171">
        <v>9162.0</v>
      </c>
      <c r="H30" s="171" t="s">
        <v>507</v>
      </c>
      <c r="I30" s="171" t="s">
        <v>507</v>
      </c>
      <c r="J30" s="171" t="s">
        <v>507</v>
      </c>
      <c r="K30" s="171" t="s">
        <v>507</v>
      </c>
      <c r="L30" s="171" t="s">
        <v>507</v>
      </c>
      <c r="M30" s="171" t="s">
        <v>507</v>
      </c>
      <c r="N30" s="171">
        <v>5134.0</v>
      </c>
      <c r="O30" s="218">
        <v>0.0118</v>
      </c>
      <c r="P30" s="179"/>
      <c r="Q30" s="104"/>
      <c r="R30" s="104"/>
      <c r="S30" s="127"/>
      <c r="T30" s="221"/>
      <c r="U30" s="221"/>
      <c r="V30" s="221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</row>
    <row r="31" ht="14.25" customHeight="1">
      <c r="A31" s="114" t="s">
        <v>524</v>
      </c>
      <c r="B31" s="115">
        <v>2152.0</v>
      </c>
      <c r="C31" s="115" t="s">
        <v>507</v>
      </c>
      <c r="D31" s="115">
        <v>2275.0</v>
      </c>
      <c r="E31" s="115">
        <v>3985.0</v>
      </c>
      <c r="F31" s="115">
        <v>1964.0</v>
      </c>
      <c r="G31" s="115" t="s">
        <v>507</v>
      </c>
      <c r="H31" s="115" t="s">
        <v>507</v>
      </c>
      <c r="I31" s="115" t="s">
        <v>507</v>
      </c>
      <c r="J31" s="115" t="s">
        <v>507</v>
      </c>
      <c r="K31" s="115" t="s">
        <v>507</v>
      </c>
      <c r="L31" s="115" t="s">
        <v>507</v>
      </c>
      <c r="M31" s="115" t="s">
        <v>507</v>
      </c>
      <c r="N31" s="115">
        <v>2594.0</v>
      </c>
      <c r="O31" s="215">
        <v>0.0185</v>
      </c>
      <c r="P31" s="179"/>
      <c r="Q31" s="104"/>
      <c r="R31" s="104"/>
      <c r="S31" s="106" t="s">
        <v>355</v>
      </c>
      <c r="T31" s="108" t="s">
        <v>4</v>
      </c>
      <c r="U31" s="108" t="s">
        <v>6</v>
      </c>
      <c r="V31" s="108" t="s">
        <v>7</v>
      </c>
      <c r="W31" s="108" t="s">
        <v>9</v>
      </c>
      <c r="X31" s="108" t="s">
        <v>10</v>
      </c>
      <c r="Y31" s="108" t="s">
        <v>12</v>
      </c>
      <c r="Z31" s="108" t="s">
        <v>14</v>
      </c>
      <c r="AA31" s="108" t="s">
        <v>16</v>
      </c>
      <c r="AB31" s="108" t="s">
        <v>18</v>
      </c>
      <c r="AC31" s="108" t="s">
        <v>19</v>
      </c>
      <c r="AD31" s="108" t="s">
        <v>20</v>
      </c>
      <c r="AE31" s="108" t="s">
        <v>21</v>
      </c>
      <c r="AF31" s="108" t="s">
        <v>30</v>
      </c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</row>
    <row r="32" ht="14.25" customHeight="1">
      <c r="A32" s="195" t="s">
        <v>534</v>
      </c>
      <c r="B32" s="171">
        <v>509.0</v>
      </c>
      <c r="C32" s="171">
        <v>574.0</v>
      </c>
      <c r="D32" s="171">
        <v>720.0</v>
      </c>
      <c r="E32" s="171">
        <v>437.0</v>
      </c>
      <c r="F32" s="171">
        <v>435.0</v>
      </c>
      <c r="G32" s="171">
        <v>891.0</v>
      </c>
      <c r="H32" s="171" t="s">
        <v>507</v>
      </c>
      <c r="I32" s="171" t="s">
        <v>507</v>
      </c>
      <c r="J32" s="171" t="s">
        <v>507</v>
      </c>
      <c r="K32" s="171" t="s">
        <v>507</v>
      </c>
      <c r="L32" s="171" t="s">
        <v>507</v>
      </c>
      <c r="M32" s="171" t="s">
        <v>507</v>
      </c>
      <c r="N32" s="171">
        <v>594.0</v>
      </c>
      <c r="O32" s="218">
        <v>0.0013</v>
      </c>
      <c r="P32" s="179"/>
      <c r="Q32" s="104"/>
      <c r="R32" s="104"/>
      <c r="S32" s="117" t="s">
        <v>411</v>
      </c>
      <c r="T32" s="196">
        <v>0.17</v>
      </c>
      <c r="U32" s="196">
        <v>0.27</v>
      </c>
      <c r="V32" s="196">
        <v>0.19</v>
      </c>
      <c r="W32" s="197"/>
      <c r="X32" s="197"/>
      <c r="Y32" s="197"/>
      <c r="Z32" s="197"/>
      <c r="AA32" s="197"/>
      <c r="AB32" s="197"/>
      <c r="AC32" s="197"/>
      <c r="AD32" s="197"/>
      <c r="AE32" s="197"/>
      <c r="AF32" s="196">
        <v>0.21</v>
      </c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</row>
    <row r="33" ht="14.25" customHeight="1">
      <c r="A33" s="114" t="s">
        <v>542</v>
      </c>
      <c r="B33" s="223">
        <v>2660.0</v>
      </c>
      <c r="C33" s="224" t="s">
        <v>507</v>
      </c>
      <c r="D33" s="224">
        <v>550.0</v>
      </c>
      <c r="E33" s="224">
        <v>700.0</v>
      </c>
      <c r="F33" s="224">
        <v>367.0</v>
      </c>
      <c r="G33" s="224">
        <v>300.0</v>
      </c>
      <c r="H33" s="224" t="s">
        <v>507</v>
      </c>
      <c r="I33" s="224" t="s">
        <v>507</v>
      </c>
      <c r="J33" s="224" t="s">
        <v>507</v>
      </c>
      <c r="K33" s="224" t="s">
        <v>507</v>
      </c>
      <c r="L33" s="224" t="s">
        <v>507</v>
      </c>
      <c r="M33" s="224" t="s">
        <v>507</v>
      </c>
      <c r="N33" s="223">
        <v>915.0</v>
      </c>
      <c r="O33" s="215">
        <v>0.0043</v>
      </c>
      <c r="P33" s="104"/>
      <c r="Q33" s="104"/>
      <c r="R33" s="104"/>
      <c r="S33" s="131" t="s">
        <v>151</v>
      </c>
      <c r="T33" s="219">
        <v>373445.0</v>
      </c>
      <c r="U33" s="219">
        <v>548991.0</v>
      </c>
      <c r="V33" s="219">
        <v>433017.0</v>
      </c>
      <c r="W33" s="225"/>
      <c r="X33" s="225"/>
      <c r="Y33" s="225"/>
      <c r="Z33" s="225"/>
      <c r="AA33" s="225"/>
      <c r="AB33" s="225"/>
      <c r="AC33" s="225"/>
      <c r="AD33" s="225"/>
      <c r="AE33" s="225"/>
      <c r="AF33" s="219">
        <v>1355453.0</v>
      </c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</row>
    <row r="34" ht="14.25" customHeight="1">
      <c r="A34" s="195" t="s">
        <v>552</v>
      </c>
      <c r="B34" s="171">
        <v>2546.0</v>
      </c>
      <c r="C34" s="171">
        <v>2175.0</v>
      </c>
      <c r="D34" s="171">
        <v>2386.0</v>
      </c>
      <c r="E34" s="171">
        <v>2118.0</v>
      </c>
      <c r="F34" s="171">
        <v>2542.0</v>
      </c>
      <c r="G34" s="171">
        <v>2203.0</v>
      </c>
      <c r="H34" s="171" t="s">
        <v>507</v>
      </c>
      <c r="I34" s="171" t="s">
        <v>507</v>
      </c>
      <c r="J34" s="171" t="s">
        <v>507</v>
      </c>
      <c r="K34" s="171" t="s">
        <v>507</v>
      </c>
      <c r="L34" s="171" t="s">
        <v>507</v>
      </c>
      <c r="M34" s="171" t="s">
        <v>507</v>
      </c>
      <c r="N34" s="171">
        <v>2328.0</v>
      </c>
      <c r="O34" s="218">
        <v>0.0034</v>
      </c>
      <c r="P34" s="104"/>
      <c r="Q34" s="104"/>
      <c r="R34" s="104"/>
      <c r="S34" s="117" t="s">
        <v>437</v>
      </c>
      <c r="T34" s="196">
        <v>0.24</v>
      </c>
      <c r="U34" s="196">
        <v>0.34</v>
      </c>
      <c r="V34" s="196">
        <v>0.29</v>
      </c>
      <c r="W34" s="197"/>
      <c r="X34" s="197"/>
      <c r="Y34" s="197"/>
      <c r="Z34" s="197"/>
      <c r="AA34" s="197"/>
      <c r="AB34" s="197"/>
      <c r="AC34" s="197"/>
      <c r="AD34" s="197"/>
      <c r="AE34" s="197"/>
      <c r="AF34" s="196">
        <v>0.29</v>
      </c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</row>
    <row r="35" ht="14.25" customHeight="1">
      <c r="A35" s="114" t="s">
        <v>556</v>
      </c>
      <c r="B35" s="115">
        <v>1117.0</v>
      </c>
      <c r="C35" s="115">
        <v>1296.0</v>
      </c>
      <c r="D35" s="115">
        <v>1142.0</v>
      </c>
      <c r="E35" s="115">
        <v>1270.0</v>
      </c>
      <c r="F35" s="115">
        <v>1311.0</v>
      </c>
      <c r="G35" s="115">
        <v>1390.0</v>
      </c>
      <c r="H35" s="115" t="s">
        <v>507</v>
      </c>
      <c r="I35" s="115" t="s">
        <v>507</v>
      </c>
      <c r="J35" s="115" t="s">
        <v>507</v>
      </c>
      <c r="K35" s="115" t="s">
        <v>507</v>
      </c>
      <c r="L35" s="115" t="s">
        <v>507</v>
      </c>
      <c r="M35" s="115" t="s">
        <v>507</v>
      </c>
      <c r="N35" s="115">
        <v>1254.0</v>
      </c>
      <c r="O35" s="215">
        <v>0.9409</v>
      </c>
      <c r="P35" s="104"/>
      <c r="Q35" s="104"/>
      <c r="R35" s="104"/>
      <c r="S35" s="131" t="s">
        <v>122</v>
      </c>
      <c r="T35" s="203">
        <v>0.34</v>
      </c>
      <c r="U35" s="203">
        <v>0.31</v>
      </c>
      <c r="V35" s="203">
        <v>0.34</v>
      </c>
      <c r="W35" s="225"/>
      <c r="X35" s="225"/>
      <c r="Y35" s="225"/>
      <c r="Z35" s="225"/>
      <c r="AA35" s="225"/>
      <c r="AB35" s="225"/>
      <c r="AC35" s="225"/>
      <c r="AD35" s="225"/>
      <c r="AE35" s="225"/>
      <c r="AF35" s="203">
        <v>0.33</v>
      </c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</row>
    <row r="36" ht="14.25" customHeight="1">
      <c r="A36" s="181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4"/>
      <c r="P36" s="104"/>
      <c r="Q36" s="104"/>
      <c r="R36" s="104"/>
      <c r="S36" s="117" t="s">
        <v>455</v>
      </c>
      <c r="T36" s="196">
        <v>0.58</v>
      </c>
      <c r="U36" s="196">
        <v>0.64</v>
      </c>
      <c r="V36" s="196">
        <v>0.62</v>
      </c>
      <c r="W36" s="197"/>
      <c r="X36" s="197"/>
      <c r="Y36" s="197"/>
      <c r="Z36" s="197"/>
      <c r="AA36" s="197"/>
      <c r="AB36" s="197"/>
      <c r="AC36" s="197"/>
      <c r="AD36" s="197"/>
      <c r="AE36" s="197"/>
      <c r="AF36" s="196">
        <v>0.61</v>
      </c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</row>
    <row r="37" ht="14.25" customHeight="1">
      <c r="A37" s="102" t="s">
        <v>602</v>
      </c>
      <c r="B37" s="185" t="s">
        <v>472</v>
      </c>
      <c r="C37" s="185" t="s">
        <v>473</v>
      </c>
      <c r="D37" s="185" t="s">
        <v>474</v>
      </c>
      <c r="E37" s="185" t="s">
        <v>475</v>
      </c>
      <c r="F37" s="185" t="s">
        <v>476</v>
      </c>
      <c r="G37" s="185" t="s">
        <v>477</v>
      </c>
      <c r="H37" s="185" t="s">
        <v>478</v>
      </c>
      <c r="I37" s="185" t="s">
        <v>479</v>
      </c>
      <c r="J37" s="185" t="s">
        <v>480</v>
      </c>
      <c r="K37" s="185" t="s">
        <v>481</v>
      </c>
      <c r="L37" s="185" t="s">
        <v>482</v>
      </c>
      <c r="M37" s="185" t="s">
        <v>483</v>
      </c>
      <c r="N37" s="185" t="s">
        <v>591</v>
      </c>
      <c r="O37" s="104"/>
      <c r="P37" s="104"/>
      <c r="Q37" s="104"/>
      <c r="R37" s="104"/>
      <c r="S37" s="127"/>
      <c r="T37" s="231"/>
      <c r="U37" s="231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</row>
    <row r="38" ht="14.25" customHeight="1">
      <c r="A38" s="114" t="s">
        <v>505</v>
      </c>
      <c r="B38" s="232">
        <v>4.0</v>
      </c>
      <c r="C38" s="232">
        <v>4.0</v>
      </c>
      <c r="D38" s="232">
        <v>4.0</v>
      </c>
      <c r="E38" s="232">
        <v>5.0</v>
      </c>
      <c r="F38" s="232">
        <v>5.0</v>
      </c>
      <c r="G38" s="233">
        <v>5.0</v>
      </c>
      <c r="H38" s="192"/>
      <c r="I38" s="192"/>
      <c r="J38" s="192"/>
      <c r="K38" s="192"/>
      <c r="L38" s="192"/>
      <c r="M38" s="192"/>
      <c r="N38" s="115">
        <v>4.0</v>
      </c>
      <c r="O38" s="104"/>
      <c r="P38" s="104"/>
      <c r="Q38" s="104"/>
      <c r="R38" s="104"/>
      <c r="S38" s="234" t="s">
        <v>603</v>
      </c>
      <c r="T38" s="231"/>
      <c r="U38" s="231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</row>
    <row r="39" ht="14.25" customHeight="1">
      <c r="A39" s="195" t="s">
        <v>511</v>
      </c>
      <c r="B39" s="235">
        <v>12.0</v>
      </c>
      <c r="C39" s="235">
        <v>13.0</v>
      </c>
      <c r="D39" s="235">
        <v>11.0</v>
      </c>
      <c r="E39" s="235">
        <v>10.0</v>
      </c>
      <c r="F39" s="235">
        <v>12.0</v>
      </c>
      <c r="G39" s="235">
        <v>13.0</v>
      </c>
      <c r="H39" s="105"/>
      <c r="I39" s="105"/>
      <c r="J39" s="105"/>
      <c r="K39" s="105"/>
      <c r="L39" s="105"/>
      <c r="M39" s="105"/>
      <c r="N39" s="171">
        <v>12.0</v>
      </c>
      <c r="O39" s="104"/>
      <c r="P39" s="104"/>
      <c r="Q39" s="104"/>
      <c r="R39" s="104"/>
      <c r="S39" s="106" t="s">
        <v>355</v>
      </c>
      <c r="T39" s="108" t="s">
        <v>4</v>
      </c>
      <c r="U39" s="108" t="s">
        <v>6</v>
      </c>
      <c r="V39" s="108" t="s">
        <v>7</v>
      </c>
      <c r="W39" s="108" t="s">
        <v>9</v>
      </c>
      <c r="X39" s="108" t="s">
        <v>10</v>
      </c>
      <c r="Y39" s="108" t="s">
        <v>12</v>
      </c>
      <c r="Z39" s="108" t="s">
        <v>14</v>
      </c>
      <c r="AA39" s="108" t="s">
        <v>16</v>
      </c>
      <c r="AB39" s="108" t="s">
        <v>18</v>
      </c>
      <c r="AC39" s="108" t="s">
        <v>19</v>
      </c>
      <c r="AD39" s="108" t="s">
        <v>20</v>
      </c>
      <c r="AE39" s="108" t="s">
        <v>21</v>
      </c>
      <c r="AF39" s="108" t="s">
        <v>30</v>
      </c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</row>
    <row r="40" ht="14.25" customHeight="1">
      <c r="A40" s="114" t="s">
        <v>516</v>
      </c>
      <c r="B40" s="232">
        <v>2.0</v>
      </c>
      <c r="C40" s="232">
        <v>2.0</v>
      </c>
      <c r="D40" s="232">
        <v>2.0</v>
      </c>
      <c r="E40" s="232">
        <v>2.0</v>
      </c>
      <c r="F40" s="232">
        <v>2.0</v>
      </c>
      <c r="G40" s="232">
        <v>2.0</v>
      </c>
      <c r="H40" s="192"/>
      <c r="I40" s="192"/>
      <c r="J40" s="192"/>
      <c r="K40" s="192"/>
      <c r="L40" s="192"/>
      <c r="M40" s="192"/>
      <c r="N40" s="115">
        <v>2.0</v>
      </c>
      <c r="O40" s="104"/>
      <c r="P40" s="104"/>
      <c r="Q40" s="104"/>
      <c r="R40" s="104"/>
      <c r="S40" s="117" t="s">
        <v>385</v>
      </c>
      <c r="T40" s="216">
        <v>1653906.0</v>
      </c>
      <c r="U40" s="216">
        <v>1741862.0</v>
      </c>
      <c r="V40" s="216">
        <v>1581738.0</v>
      </c>
      <c r="W40" s="217">
        <v>1760000.0</v>
      </c>
      <c r="X40" s="217">
        <v>1890000.0</v>
      </c>
      <c r="Y40" s="217">
        <v>1730000.0</v>
      </c>
      <c r="Z40" s="217">
        <v>1630000.0</v>
      </c>
      <c r="AA40" s="217">
        <v>1960000.0</v>
      </c>
      <c r="AB40" s="217">
        <v>1990000.0</v>
      </c>
      <c r="AC40" s="217">
        <v>2150000.0</v>
      </c>
      <c r="AD40" s="217">
        <v>1975000.0</v>
      </c>
      <c r="AE40" s="217">
        <v>1890000.0</v>
      </c>
      <c r="AF40" s="217">
        <v>2.1952505E7</v>
      </c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</row>
    <row r="41" ht="14.25" customHeight="1">
      <c r="A41" s="195" t="s">
        <v>519</v>
      </c>
      <c r="B41" s="235">
        <v>9.0</v>
      </c>
      <c r="C41" s="235">
        <v>9.0</v>
      </c>
      <c r="D41" s="235">
        <v>9.0</v>
      </c>
      <c r="E41" s="235">
        <v>5.0</v>
      </c>
      <c r="F41" s="235">
        <v>5.0</v>
      </c>
      <c r="G41" s="235">
        <v>3.0</v>
      </c>
      <c r="H41" s="105"/>
      <c r="I41" s="105"/>
      <c r="J41" s="105"/>
      <c r="K41" s="105"/>
      <c r="L41" s="105"/>
      <c r="M41" s="105"/>
      <c r="N41" s="171">
        <v>7.0</v>
      </c>
      <c r="O41" s="104"/>
      <c r="P41" s="104"/>
      <c r="Q41" s="104"/>
      <c r="R41" s="104"/>
      <c r="S41" s="131" t="s">
        <v>401</v>
      </c>
      <c r="T41" s="219">
        <v>109985.0</v>
      </c>
      <c r="U41" s="219">
        <v>115834.0</v>
      </c>
      <c r="V41" s="219">
        <v>105186.0</v>
      </c>
      <c r="W41" s="220">
        <v>117040.0</v>
      </c>
      <c r="X41" s="220">
        <v>125685.0</v>
      </c>
      <c r="Y41" s="220">
        <v>115045.0</v>
      </c>
      <c r="Z41" s="220">
        <v>108395.0</v>
      </c>
      <c r="AA41" s="220">
        <v>130340.0</v>
      </c>
      <c r="AB41" s="220">
        <v>132335.0</v>
      </c>
      <c r="AC41" s="220">
        <v>142975.0</v>
      </c>
      <c r="AD41" s="220">
        <v>131338.0</v>
      </c>
      <c r="AE41" s="220">
        <v>125685.0</v>
      </c>
      <c r="AF41" s="220">
        <v>1459842.0</v>
      </c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</row>
    <row r="42" ht="14.25" customHeight="1">
      <c r="A42" s="114" t="s">
        <v>524</v>
      </c>
      <c r="B42" s="232">
        <v>20.0</v>
      </c>
      <c r="C42" s="232">
        <v>20.0</v>
      </c>
      <c r="D42" s="232">
        <v>18.0</v>
      </c>
      <c r="E42" s="232">
        <v>18.0</v>
      </c>
      <c r="F42" s="232">
        <v>19.0</v>
      </c>
      <c r="G42" s="232">
        <v>19.0</v>
      </c>
      <c r="H42" s="192"/>
      <c r="I42" s="192"/>
      <c r="J42" s="192"/>
      <c r="K42" s="192"/>
      <c r="L42" s="192"/>
      <c r="M42" s="192"/>
      <c r="N42" s="115">
        <v>19.0</v>
      </c>
      <c r="O42" s="104"/>
      <c r="P42" s="104"/>
      <c r="Q42" s="104"/>
      <c r="R42" s="104"/>
      <c r="S42" s="117" t="s">
        <v>426</v>
      </c>
      <c r="T42" s="216">
        <v>1543921.0</v>
      </c>
      <c r="U42" s="216">
        <v>1626028.0</v>
      </c>
      <c r="V42" s="216">
        <v>1476552.0</v>
      </c>
      <c r="W42" s="217">
        <v>1642960.0</v>
      </c>
      <c r="X42" s="217">
        <v>1764315.0</v>
      </c>
      <c r="Y42" s="217">
        <v>1614955.0</v>
      </c>
      <c r="Z42" s="217">
        <v>1521605.0</v>
      </c>
      <c r="AA42" s="217">
        <v>1829660.0</v>
      </c>
      <c r="AB42" s="217">
        <v>1857665.0</v>
      </c>
      <c r="AC42" s="217">
        <v>2007025.0</v>
      </c>
      <c r="AD42" s="217">
        <v>1843663.0</v>
      </c>
      <c r="AE42" s="217">
        <v>1764315.0</v>
      </c>
      <c r="AF42" s="217">
        <v>2.0492664E7</v>
      </c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</row>
    <row r="43" ht="14.25" customHeight="1">
      <c r="A43" s="195" t="s">
        <v>534</v>
      </c>
      <c r="B43" s="235">
        <v>4.0</v>
      </c>
      <c r="C43" s="235">
        <v>5.0</v>
      </c>
      <c r="D43" s="235">
        <v>2.0</v>
      </c>
      <c r="E43" s="235">
        <v>3.0</v>
      </c>
      <c r="F43" s="235">
        <v>4.0</v>
      </c>
      <c r="G43" s="235">
        <v>5.0</v>
      </c>
      <c r="H43" s="105"/>
      <c r="I43" s="105"/>
      <c r="J43" s="105"/>
      <c r="K43" s="105"/>
      <c r="L43" s="105"/>
      <c r="M43" s="105"/>
      <c r="N43" s="171">
        <v>4.0</v>
      </c>
      <c r="O43" s="104"/>
      <c r="P43" s="104"/>
      <c r="Q43" s="104"/>
      <c r="R43" s="104"/>
      <c r="S43" s="131" t="s">
        <v>451</v>
      </c>
      <c r="T43" s="219">
        <v>898717.0</v>
      </c>
      <c r="U43" s="219">
        <v>1041630.0</v>
      </c>
      <c r="V43" s="219">
        <v>916622.0</v>
      </c>
      <c r="W43" s="220">
        <v>1067924.0</v>
      </c>
      <c r="X43" s="220">
        <v>1146805.0</v>
      </c>
      <c r="Y43" s="220">
        <v>1049721.0</v>
      </c>
      <c r="Z43" s="220">
        <v>989043.0</v>
      </c>
      <c r="AA43" s="220">
        <v>1189279.0</v>
      </c>
      <c r="AB43" s="220">
        <v>1207482.0</v>
      </c>
      <c r="AC43" s="220">
        <v>1304566.0</v>
      </c>
      <c r="AD43" s="220">
        <v>1198381.0</v>
      </c>
      <c r="AE43" s="220">
        <v>1146805.0</v>
      </c>
      <c r="AF43" s="220">
        <v>1.3156974E7</v>
      </c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</row>
    <row r="44" ht="14.25" customHeight="1">
      <c r="A44" s="114" t="s">
        <v>542</v>
      </c>
      <c r="B44" s="240">
        <v>15.0</v>
      </c>
      <c r="C44" s="240" t="s">
        <v>507</v>
      </c>
      <c r="D44" s="240">
        <v>2.0</v>
      </c>
      <c r="E44" s="240">
        <v>2.0</v>
      </c>
      <c r="F44" s="240">
        <v>3.0</v>
      </c>
      <c r="G44" s="240">
        <v>4.0</v>
      </c>
      <c r="H44" s="241"/>
      <c r="I44" s="241"/>
      <c r="J44" s="241"/>
      <c r="K44" s="241"/>
      <c r="L44" s="241"/>
      <c r="M44" s="241"/>
      <c r="N44" s="224">
        <v>4.0</v>
      </c>
      <c r="O44" s="104"/>
      <c r="P44" s="104"/>
      <c r="Q44" s="104"/>
      <c r="R44" s="104"/>
      <c r="S44" s="117" t="s">
        <v>462</v>
      </c>
      <c r="T44" s="216">
        <v>645204.0</v>
      </c>
      <c r="U44" s="216">
        <v>584398.0</v>
      </c>
      <c r="V44" s="216">
        <v>559930.0</v>
      </c>
      <c r="W44" s="217">
        <v>575036.0</v>
      </c>
      <c r="X44" s="217">
        <v>617510.0</v>
      </c>
      <c r="Y44" s="217">
        <v>565234.0</v>
      </c>
      <c r="Z44" s="217">
        <v>532562.0</v>
      </c>
      <c r="AA44" s="217">
        <v>640381.0</v>
      </c>
      <c r="AB44" s="217">
        <v>650183.0</v>
      </c>
      <c r="AC44" s="217">
        <v>702459.0</v>
      </c>
      <c r="AD44" s="217">
        <v>645282.0</v>
      </c>
      <c r="AE44" s="217">
        <v>617510.0</v>
      </c>
      <c r="AF44" s="217">
        <v>7335689.0</v>
      </c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</row>
    <row r="45" ht="14.25" customHeight="1">
      <c r="A45" s="195" t="s">
        <v>552</v>
      </c>
      <c r="B45" s="170">
        <v>3.0</v>
      </c>
      <c r="C45" s="170">
        <v>3.0</v>
      </c>
      <c r="D45" s="170">
        <v>2.0</v>
      </c>
      <c r="E45" s="170">
        <v>2.0</v>
      </c>
      <c r="F45" s="170">
        <v>3.0</v>
      </c>
      <c r="G45" s="170">
        <v>2.0</v>
      </c>
      <c r="H45" s="104"/>
      <c r="I45" s="104"/>
      <c r="J45" s="104"/>
      <c r="K45" s="104"/>
      <c r="L45" s="104"/>
      <c r="M45" s="104"/>
      <c r="N45" s="206">
        <v>3.0</v>
      </c>
      <c r="O45" s="104"/>
      <c r="P45" s="104"/>
      <c r="Q45" s="104"/>
      <c r="R45" s="104"/>
      <c r="S45" s="131" t="s">
        <v>486</v>
      </c>
      <c r="T45" s="219">
        <v>529504.0</v>
      </c>
      <c r="U45" s="219">
        <v>497919.0</v>
      </c>
      <c r="V45" s="219">
        <v>501983.0</v>
      </c>
      <c r="W45" s="220">
        <v>575036.0</v>
      </c>
      <c r="X45" s="220">
        <v>617510.0</v>
      </c>
      <c r="Y45" s="220">
        <v>565234.0</v>
      </c>
      <c r="Z45" s="220">
        <v>532562.0</v>
      </c>
      <c r="AA45" s="220">
        <v>640381.0</v>
      </c>
      <c r="AB45" s="220">
        <v>650183.0</v>
      </c>
      <c r="AC45" s="220">
        <v>702459.0</v>
      </c>
      <c r="AD45" s="220">
        <v>645282.0</v>
      </c>
      <c r="AE45" s="220">
        <v>617510.0</v>
      </c>
      <c r="AF45" s="220">
        <v>7075563.0</v>
      </c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</row>
    <row r="46" ht="14.25" customHeight="1">
      <c r="A46" s="114" t="s">
        <v>556</v>
      </c>
      <c r="B46" s="243">
        <v>1310.0</v>
      </c>
      <c r="C46" s="243">
        <v>1317.0</v>
      </c>
      <c r="D46" s="243">
        <v>1290.0</v>
      </c>
      <c r="E46" s="243">
        <v>1314.0</v>
      </c>
      <c r="F46" s="243">
        <v>1311.0</v>
      </c>
      <c r="G46" s="243">
        <v>1293.0</v>
      </c>
      <c r="H46" s="213"/>
      <c r="I46" s="213"/>
      <c r="J46" s="213"/>
      <c r="K46" s="213"/>
      <c r="L46" s="213"/>
      <c r="M46" s="213"/>
      <c r="N46" s="223">
        <v>1308.0</v>
      </c>
      <c r="O46" s="104"/>
      <c r="P46" s="104"/>
      <c r="Q46" s="104"/>
      <c r="R46" s="104"/>
      <c r="S46" s="117" t="s">
        <v>78</v>
      </c>
      <c r="T46" s="216">
        <v>365837.0</v>
      </c>
      <c r="U46" s="216">
        <v>541200.0</v>
      </c>
      <c r="V46" s="216">
        <v>425179.0</v>
      </c>
      <c r="W46" s="217">
        <v>469392.0</v>
      </c>
      <c r="X46" s="217">
        <v>504063.0</v>
      </c>
      <c r="Y46" s="217">
        <v>461391.0</v>
      </c>
      <c r="Z46" s="217">
        <v>434721.0</v>
      </c>
      <c r="AA46" s="217">
        <v>522732.0</v>
      </c>
      <c r="AB46" s="217">
        <v>530733.0</v>
      </c>
      <c r="AC46" s="217">
        <v>573405.0</v>
      </c>
      <c r="AD46" s="217">
        <v>526733.0</v>
      </c>
      <c r="AE46" s="217">
        <v>504063.0</v>
      </c>
      <c r="AF46" s="217">
        <v>5859448.0</v>
      </c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</row>
    <row r="47" ht="14.25" customHeight="1">
      <c r="A47" s="195" t="s">
        <v>610</v>
      </c>
      <c r="B47" s="246">
        <v>1379.0</v>
      </c>
      <c r="C47" s="246">
        <v>1373.0</v>
      </c>
      <c r="D47" s="246">
        <v>1340.0</v>
      </c>
      <c r="E47" s="246">
        <v>1361.0</v>
      </c>
      <c r="F47" s="246">
        <v>1364.0</v>
      </c>
      <c r="G47" s="246">
        <v>1346.0</v>
      </c>
      <c r="H47" s="105"/>
      <c r="I47" s="105"/>
      <c r="J47" s="105"/>
      <c r="K47" s="105"/>
      <c r="L47" s="105"/>
      <c r="M47" s="105"/>
      <c r="N47" s="171">
        <v>1363.0</v>
      </c>
      <c r="O47" s="104"/>
      <c r="P47" s="161"/>
      <c r="Q47" s="104"/>
      <c r="R47" s="104"/>
      <c r="S47" s="131" t="s">
        <v>495</v>
      </c>
      <c r="T47" s="219">
        <v>365837.0</v>
      </c>
      <c r="U47" s="219">
        <v>541200.0</v>
      </c>
      <c r="V47" s="219">
        <v>425179.0</v>
      </c>
      <c r="W47" s="220">
        <v>469392.0</v>
      </c>
      <c r="X47" s="220">
        <v>504063.0</v>
      </c>
      <c r="Y47" s="220">
        <v>461391.0</v>
      </c>
      <c r="Z47" s="220">
        <v>434721.0</v>
      </c>
      <c r="AA47" s="220">
        <v>522732.0</v>
      </c>
      <c r="AB47" s="220">
        <v>530733.0</v>
      </c>
      <c r="AC47" s="220">
        <v>573405.0</v>
      </c>
      <c r="AD47" s="220">
        <v>526733.0</v>
      </c>
      <c r="AE47" s="220">
        <v>504063.0</v>
      </c>
      <c r="AF47" s="220">
        <v>5859448.0</v>
      </c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</row>
    <row r="48" ht="14.25" customHeight="1">
      <c r="A48" s="181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4"/>
      <c r="P48" s="104"/>
      <c r="Q48" s="104"/>
      <c r="R48" s="104"/>
      <c r="S48" s="117" t="s">
        <v>498</v>
      </c>
      <c r="T48" s="216">
        <v>263550.0</v>
      </c>
      <c r="U48" s="216">
        <v>432514.0</v>
      </c>
      <c r="V48" s="216">
        <v>287256.0</v>
      </c>
      <c r="W48" s="217">
        <v>365230.0</v>
      </c>
      <c r="X48" s="217">
        <v>392207.0</v>
      </c>
      <c r="Y48" s="217">
        <v>359004.0</v>
      </c>
      <c r="Z48" s="217">
        <v>338253.0</v>
      </c>
      <c r="AA48" s="217">
        <v>406733.0</v>
      </c>
      <c r="AB48" s="217">
        <v>412959.0</v>
      </c>
      <c r="AC48" s="217">
        <v>446162.0</v>
      </c>
      <c r="AD48" s="217">
        <v>409846.0</v>
      </c>
      <c r="AE48" s="217">
        <v>392207.0</v>
      </c>
      <c r="AF48" s="217">
        <v>4505922.0</v>
      </c>
      <c r="AG48" s="127"/>
      <c r="AH48" s="127"/>
      <c r="AI48" s="127"/>
      <c r="AJ48" s="127"/>
      <c r="AK48" s="127"/>
      <c r="AL48" s="127"/>
      <c r="AM48" s="127"/>
      <c r="AN48" s="127"/>
      <c r="AO48" s="127"/>
      <c r="AP48" s="127"/>
      <c r="AQ48" s="127"/>
      <c r="AR48" s="127"/>
      <c r="AS48" s="127"/>
      <c r="AT48" s="127"/>
    </row>
    <row r="49" ht="14.25" customHeight="1">
      <c r="A49" s="181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4"/>
      <c r="P49" s="104"/>
      <c r="Q49" s="104"/>
      <c r="R49" s="104"/>
      <c r="S49" s="127"/>
      <c r="T49" s="221"/>
      <c r="U49" s="231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</row>
    <row r="50" ht="14.25" customHeight="1">
      <c r="A50" s="102" t="s">
        <v>619</v>
      </c>
      <c r="B50" s="185" t="s">
        <v>472</v>
      </c>
      <c r="C50" s="185" t="s">
        <v>473</v>
      </c>
      <c r="D50" s="185" t="s">
        <v>474</v>
      </c>
      <c r="E50" s="185" t="s">
        <v>475</v>
      </c>
      <c r="F50" s="185" t="s">
        <v>476</v>
      </c>
      <c r="G50" s="185" t="s">
        <v>477</v>
      </c>
      <c r="H50" s="185" t="s">
        <v>478</v>
      </c>
      <c r="I50" s="185" t="s">
        <v>479</v>
      </c>
      <c r="J50" s="185" t="s">
        <v>480</v>
      </c>
      <c r="K50" s="185" t="s">
        <v>481</v>
      </c>
      <c r="L50" s="185" t="s">
        <v>482</v>
      </c>
      <c r="M50" s="185" t="s">
        <v>483</v>
      </c>
      <c r="N50" s="185" t="s">
        <v>591</v>
      </c>
      <c r="O50" s="104"/>
      <c r="P50" s="104"/>
      <c r="Q50" s="104"/>
      <c r="R50" s="104"/>
      <c r="S50" s="106" t="s">
        <v>355</v>
      </c>
      <c r="T50" s="108" t="s">
        <v>4</v>
      </c>
      <c r="U50" s="108" t="s">
        <v>6</v>
      </c>
      <c r="V50" s="108" t="s">
        <v>7</v>
      </c>
      <c r="W50" s="108" t="s">
        <v>9</v>
      </c>
      <c r="X50" s="108" t="s">
        <v>10</v>
      </c>
      <c r="Y50" s="108" t="s">
        <v>12</v>
      </c>
      <c r="Z50" s="108" t="s">
        <v>14</v>
      </c>
      <c r="AA50" s="108" t="s">
        <v>16</v>
      </c>
      <c r="AB50" s="108" t="s">
        <v>18</v>
      </c>
      <c r="AC50" s="108" t="s">
        <v>19</v>
      </c>
      <c r="AD50" s="108" t="s">
        <v>20</v>
      </c>
      <c r="AE50" s="108" t="s">
        <v>21</v>
      </c>
      <c r="AF50" s="108" t="s">
        <v>30</v>
      </c>
      <c r="AG50" s="127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</row>
    <row r="51" ht="14.25" customHeight="1">
      <c r="A51" s="114" t="s">
        <v>610</v>
      </c>
      <c r="B51" s="224">
        <v>860.0</v>
      </c>
      <c r="C51" s="224">
        <v>843.0</v>
      </c>
      <c r="D51" s="224">
        <v>818.0</v>
      </c>
      <c r="E51" s="224">
        <v>816.0</v>
      </c>
      <c r="F51" s="224">
        <v>804.0</v>
      </c>
      <c r="G51" s="224">
        <v>785.0</v>
      </c>
      <c r="H51" s="241"/>
      <c r="I51" s="241"/>
      <c r="J51" s="241"/>
      <c r="K51" s="241"/>
      <c r="L51" s="241"/>
      <c r="M51" s="241"/>
      <c r="N51" s="223">
        <v>1380.0</v>
      </c>
      <c r="O51" s="104"/>
      <c r="P51" s="104"/>
      <c r="Q51" s="104"/>
      <c r="R51" s="104"/>
      <c r="S51" s="117" t="s">
        <v>411</v>
      </c>
      <c r="T51" s="196">
        <v>0.17</v>
      </c>
      <c r="U51" s="196">
        <v>0.27</v>
      </c>
      <c r="V51" s="196">
        <v>0.19</v>
      </c>
      <c r="W51" s="197"/>
      <c r="X51" s="197"/>
      <c r="Y51" s="197"/>
      <c r="Z51" s="197"/>
      <c r="AA51" s="197"/>
      <c r="AB51" s="197"/>
      <c r="AC51" s="197"/>
      <c r="AD51" s="197"/>
      <c r="AE51" s="197"/>
      <c r="AF51" s="196">
        <v>0.21</v>
      </c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</row>
    <row r="52" ht="14.25" customHeight="1">
      <c r="A52" s="195" t="s">
        <v>624</v>
      </c>
      <c r="B52" s="206">
        <v>282.0</v>
      </c>
      <c r="C52" s="206">
        <v>287.0</v>
      </c>
      <c r="D52" s="206">
        <v>281.0</v>
      </c>
      <c r="E52" s="206">
        <v>303.0</v>
      </c>
      <c r="F52" s="206">
        <v>306.0</v>
      </c>
      <c r="G52" s="206">
        <v>306.0</v>
      </c>
      <c r="H52" s="181"/>
      <c r="I52" s="181"/>
      <c r="J52" s="181"/>
      <c r="K52" s="181"/>
      <c r="L52" s="181"/>
      <c r="M52" s="181"/>
      <c r="N52" s="206">
        <v>486.0</v>
      </c>
      <c r="O52" s="104"/>
      <c r="P52" s="104"/>
      <c r="Q52" s="104"/>
      <c r="R52" s="104"/>
      <c r="S52" s="131" t="s">
        <v>151</v>
      </c>
      <c r="T52" s="219">
        <v>373445.0</v>
      </c>
      <c r="U52" s="219">
        <v>548991.0</v>
      </c>
      <c r="V52" s="219">
        <v>433017.0</v>
      </c>
      <c r="W52" s="225"/>
      <c r="X52" s="225"/>
      <c r="Y52" s="225"/>
      <c r="Z52" s="225"/>
      <c r="AA52" s="225"/>
      <c r="AB52" s="225"/>
      <c r="AC52" s="225"/>
      <c r="AD52" s="225"/>
      <c r="AE52" s="225"/>
      <c r="AF52" s="219">
        <v>1355453.0</v>
      </c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</row>
    <row r="53" ht="14.25" customHeight="1">
      <c r="A53" s="114" t="s">
        <v>627</v>
      </c>
      <c r="B53" s="115">
        <v>168.0</v>
      </c>
      <c r="C53" s="115">
        <v>187.0</v>
      </c>
      <c r="D53" s="115">
        <v>191.0</v>
      </c>
      <c r="E53" s="115">
        <v>195.0</v>
      </c>
      <c r="F53" s="115">
        <v>201.0</v>
      </c>
      <c r="G53" s="115">
        <v>202.0</v>
      </c>
      <c r="H53" s="192"/>
      <c r="I53" s="192"/>
      <c r="J53" s="192"/>
      <c r="K53" s="192"/>
      <c r="L53" s="192"/>
      <c r="M53" s="192"/>
      <c r="N53" s="115">
        <v>314.0</v>
      </c>
      <c r="O53" s="104"/>
      <c r="P53" s="104"/>
      <c r="Q53" s="104"/>
      <c r="R53" s="104"/>
      <c r="S53" s="117" t="s">
        <v>437</v>
      </c>
      <c r="T53" s="196">
        <v>0.24</v>
      </c>
      <c r="U53" s="196">
        <v>0.34</v>
      </c>
      <c r="V53" s="196">
        <v>0.29</v>
      </c>
      <c r="W53" s="197"/>
      <c r="X53" s="197"/>
      <c r="Y53" s="197"/>
      <c r="Z53" s="197"/>
      <c r="AA53" s="197"/>
      <c r="AB53" s="197"/>
      <c r="AC53" s="197"/>
      <c r="AD53" s="197"/>
      <c r="AE53" s="197"/>
      <c r="AF53" s="196">
        <v>0.29</v>
      </c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</row>
    <row r="54" ht="14.25" customHeight="1">
      <c r="A54" s="195" t="s">
        <v>629</v>
      </c>
      <c r="B54" s="171">
        <v>1310.0</v>
      </c>
      <c r="C54" s="171">
        <v>1317.0</v>
      </c>
      <c r="D54" s="171">
        <v>1290.0</v>
      </c>
      <c r="E54" s="171">
        <v>1314.0</v>
      </c>
      <c r="F54" s="171">
        <v>1311.0</v>
      </c>
      <c r="G54" s="171">
        <v>1293.0</v>
      </c>
      <c r="H54" s="105"/>
      <c r="I54" s="105"/>
      <c r="J54" s="105"/>
      <c r="K54" s="105"/>
      <c r="L54" s="105"/>
      <c r="M54" s="105"/>
      <c r="N54" s="171">
        <v>2181.0</v>
      </c>
      <c r="O54" s="104"/>
      <c r="P54" s="104"/>
      <c r="Q54" s="104"/>
      <c r="R54" s="104"/>
      <c r="S54" s="131" t="s">
        <v>122</v>
      </c>
      <c r="T54" s="203">
        <v>0.34</v>
      </c>
      <c r="U54" s="203">
        <v>0.31</v>
      </c>
      <c r="V54" s="203">
        <v>0.34</v>
      </c>
      <c r="W54" s="225"/>
      <c r="X54" s="225"/>
      <c r="Y54" s="225"/>
      <c r="Z54" s="225"/>
      <c r="AA54" s="225"/>
      <c r="AB54" s="225"/>
      <c r="AC54" s="225"/>
      <c r="AD54" s="225"/>
      <c r="AE54" s="225"/>
      <c r="AF54" s="203">
        <v>0.33</v>
      </c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</row>
    <row r="55" ht="14.25" customHeight="1">
      <c r="A55" s="181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4"/>
      <c r="P55" s="104"/>
      <c r="Q55" s="104"/>
      <c r="R55" s="104"/>
      <c r="S55" s="117" t="s">
        <v>455</v>
      </c>
      <c r="T55" s="196">
        <v>0.58</v>
      </c>
      <c r="U55" s="196">
        <v>0.64</v>
      </c>
      <c r="V55" s="196">
        <v>0.62</v>
      </c>
      <c r="W55" s="197"/>
      <c r="X55" s="197"/>
      <c r="Y55" s="197"/>
      <c r="Z55" s="197"/>
      <c r="AA55" s="197"/>
      <c r="AB55" s="197"/>
      <c r="AC55" s="197"/>
      <c r="AD55" s="197"/>
      <c r="AE55" s="197"/>
      <c r="AF55" s="196">
        <v>0.61</v>
      </c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</row>
    <row r="56" ht="14.25" customHeight="1">
      <c r="A56" s="102" t="s">
        <v>637</v>
      </c>
      <c r="B56" s="185" t="s">
        <v>472</v>
      </c>
      <c r="C56" s="185" t="s">
        <v>473</v>
      </c>
      <c r="D56" s="185" t="s">
        <v>474</v>
      </c>
      <c r="E56" s="185" t="s">
        <v>475</v>
      </c>
      <c r="F56" s="185" t="s">
        <v>476</v>
      </c>
      <c r="G56" s="185" t="s">
        <v>477</v>
      </c>
      <c r="H56" s="185" t="s">
        <v>478</v>
      </c>
      <c r="I56" s="185" t="s">
        <v>479</v>
      </c>
      <c r="J56" s="185" t="s">
        <v>480</v>
      </c>
      <c r="K56" s="185" t="s">
        <v>481</v>
      </c>
      <c r="L56" s="185" t="s">
        <v>482</v>
      </c>
      <c r="M56" s="185" t="s">
        <v>483</v>
      </c>
      <c r="N56" s="185" t="s">
        <v>591</v>
      </c>
      <c r="O56" s="104"/>
      <c r="P56" s="104"/>
      <c r="Q56" s="104"/>
      <c r="R56" s="104"/>
      <c r="S56" s="127"/>
      <c r="T56" s="231"/>
      <c r="U56" s="231"/>
      <c r="V56" s="222"/>
      <c r="W56" s="222"/>
      <c r="X56" s="222"/>
      <c r="Y56" s="222"/>
      <c r="Z56" s="222"/>
      <c r="AA56" s="222"/>
      <c r="AB56" s="222"/>
      <c r="AC56" s="222"/>
      <c r="AD56" s="222"/>
      <c r="AE56" s="222"/>
      <c r="AF56" s="222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</row>
    <row r="57" ht="14.25" customHeight="1">
      <c r="A57" s="114" t="s">
        <v>645</v>
      </c>
      <c r="B57" s="115">
        <v>-53.0</v>
      </c>
      <c r="C57" s="115">
        <v>-17.0</v>
      </c>
      <c r="D57" s="115">
        <v>-25.0</v>
      </c>
      <c r="E57" s="115">
        <v>-2.0</v>
      </c>
      <c r="F57" s="115">
        <v>-12.0</v>
      </c>
      <c r="G57" s="115">
        <v>-19.0</v>
      </c>
      <c r="H57" s="115" t="s">
        <v>507</v>
      </c>
      <c r="I57" s="115" t="s">
        <v>507</v>
      </c>
      <c r="J57" s="115" t="s">
        <v>507</v>
      </c>
      <c r="K57" s="115" t="s">
        <v>507</v>
      </c>
      <c r="L57" s="115" t="s">
        <v>507</v>
      </c>
      <c r="M57" s="115" t="s">
        <v>507</v>
      </c>
      <c r="N57" s="115">
        <v>-32.0</v>
      </c>
      <c r="O57" s="105"/>
      <c r="P57" s="104"/>
      <c r="Q57" s="104"/>
      <c r="R57" s="104"/>
      <c r="S57" s="127"/>
      <c r="T57" s="231"/>
      <c r="U57" s="231"/>
      <c r="V57" s="222"/>
      <c r="W57" s="222"/>
      <c r="X57" s="222"/>
      <c r="Y57" s="222"/>
      <c r="Z57" s="222"/>
      <c r="AA57" s="222"/>
      <c r="AB57" s="222"/>
      <c r="AC57" s="222"/>
      <c r="AD57" s="222"/>
      <c r="AE57" s="222"/>
      <c r="AF57" s="222"/>
      <c r="AG57" s="127"/>
      <c r="AH57" s="127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</row>
    <row r="58" ht="14.25" customHeight="1">
      <c r="A58" s="195" t="s">
        <v>648</v>
      </c>
      <c r="B58" s="171">
        <v>-16.0</v>
      </c>
      <c r="C58" s="171">
        <v>5.0</v>
      </c>
      <c r="D58" s="171">
        <v>-6.0</v>
      </c>
      <c r="E58" s="171">
        <v>22.0</v>
      </c>
      <c r="F58" s="171">
        <v>3.0</v>
      </c>
      <c r="G58" s="171" t="s">
        <v>507</v>
      </c>
      <c r="H58" s="171" t="s">
        <v>507</v>
      </c>
      <c r="I58" s="171" t="s">
        <v>507</v>
      </c>
      <c r="J58" s="171" t="s">
        <v>507</v>
      </c>
      <c r="K58" s="171" t="s">
        <v>507</v>
      </c>
      <c r="L58" s="171" t="s">
        <v>507</v>
      </c>
      <c r="M58" s="171" t="s">
        <v>507</v>
      </c>
      <c r="N58" s="171">
        <v>-6.0</v>
      </c>
      <c r="O58" s="105"/>
      <c r="P58" s="104"/>
      <c r="Q58" s="104"/>
      <c r="R58" s="104"/>
      <c r="S58" s="127"/>
      <c r="T58" s="231"/>
      <c r="U58" s="231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127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  <c r="AR58" s="127"/>
      <c r="AS58" s="127"/>
      <c r="AT58" s="127"/>
    </row>
    <row r="59" ht="14.25" customHeight="1">
      <c r="A59" s="114" t="s">
        <v>651</v>
      </c>
      <c r="B59" s="115">
        <v>1.0</v>
      </c>
      <c r="C59" s="115">
        <v>19.0</v>
      </c>
      <c r="D59" s="115">
        <v>4.0</v>
      </c>
      <c r="E59" s="115">
        <v>4.0</v>
      </c>
      <c r="F59" s="115">
        <v>6.0</v>
      </c>
      <c r="G59" s="115">
        <v>1.0</v>
      </c>
      <c r="H59" s="115" t="s">
        <v>507</v>
      </c>
      <c r="I59" s="115" t="s">
        <v>507</v>
      </c>
      <c r="J59" s="115" t="s">
        <v>507</v>
      </c>
      <c r="K59" s="115" t="s">
        <v>507</v>
      </c>
      <c r="L59" s="115" t="s">
        <v>507</v>
      </c>
      <c r="M59" s="115" t="s">
        <v>507</v>
      </c>
      <c r="N59" s="115">
        <v>8.0</v>
      </c>
      <c r="O59" s="105"/>
      <c r="P59" s="104"/>
      <c r="Q59" s="104"/>
      <c r="R59" s="104"/>
      <c r="S59" s="127"/>
      <c r="T59" s="231"/>
      <c r="U59" s="231"/>
      <c r="V59" s="222"/>
      <c r="W59" s="222"/>
      <c r="X59" s="222"/>
      <c r="Y59" s="222"/>
      <c r="Z59" s="222"/>
      <c r="AA59" s="222"/>
      <c r="AB59" s="222"/>
      <c r="AC59" s="222"/>
      <c r="AD59" s="222"/>
      <c r="AE59" s="222"/>
      <c r="AF59" s="222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</row>
    <row r="60" ht="14.25" customHeight="1">
      <c r="A60" s="195" t="s">
        <v>629</v>
      </c>
      <c r="B60" s="171">
        <v>-68.0</v>
      </c>
      <c r="C60" s="171">
        <v>7.0</v>
      </c>
      <c r="D60" s="171">
        <v>-27.0</v>
      </c>
      <c r="E60" s="171">
        <v>24.0</v>
      </c>
      <c r="F60" s="171">
        <v>-3.0</v>
      </c>
      <c r="G60" s="171">
        <v>-18.0</v>
      </c>
      <c r="H60" s="171" t="s">
        <v>507</v>
      </c>
      <c r="I60" s="171" t="s">
        <v>507</v>
      </c>
      <c r="J60" s="171" t="s">
        <v>507</v>
      </c>
      <c r="K60" s="171" t="s">
        <v>507</v>
      </c>
      <c r="L60" s="171" t="s">
        <v>507</v>
      </c>
      <c r="M60" s="171" t="s">
        <v>507</v>
      </c>
      <c r="N60" s="171">
        <v>-29.0</v>
      </c>
      <c r="O60" s="105"/>
      <c r="P60" s="104"/>
      <c r="Q60" s="104"/>
      <c r="R60" s="104"/>
      <c r="S60" s="127"/>
      <c r="T60" s="231"/>
      <c r="U60" s="231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  <c r="AF60" s="222"/>
      <c r="AG60" s="127"/>
      <c r="AH60" s="127"/>
      <c r="AI60" s="127"/>
      <c r="AJ60" s="127"/>
      <c r="AK60" s="127"/>
      <c r="AL60" s="127"/>
      <c r="AM60" s="127"/>
      <c r="AN60" s="127"/>
      <c r="AO60" s="127"/>
      <c r="AP60" s="127"/>
      <c r="AQ60" s="127"/>
      <c r="AR60" s="127"/>
      <c r="AS60" s="127"/>
      <c r="AT60" s="127"/>
    </row>
    <row r="61" ht="14.25" customHeight="1">
      <c r="A61" s="259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4"/>
      <c r="P61" s="104"/>
      <c r="Q61" s="104"/>
      <c r="R61" s="104"/>
      <c r="S61" s="127"/>
      <c r="T61" s="231"/>
      <c r="U61" s="231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127"/>
      <c r="AH61" s="127"/>
      <c r="AI61" s="127"/>
      <c r="AJ61" s="127"/>
      <c r="AK61" s="127"/>
      <c r="AL61" s="127"/>
      <c r="AM61" s="127"/>
      <c r="AN61" s="127"/>
      <c r="AO61" s="127"/>
      <c r="AP61" s="127"/>
      <c r="AQ61" s="127"/>
      <c r="AR61" s="127"/>
      <c r="AS61" s="127"/>
      <c r="AT61" s="127"/>
    </row>
    <row r="62" ht="14.25" customHeight="1">
      <c r="A62" s="260" t="s">
        <v>660</v>
      </c>
      <c r="B62" s="260" t="s">
        <v>472</v>
      </c>
      <c r="C62" s="260" t="s">
        <v>473</v>
      </c>
      <c r="D62" s="260" t="s">
        <v>474</v>
      </c>
      <c r="E62" s="260" t="s">
        <v>475</v>
      </c>
      <c r="F62" s="260" t="s">
        <v>476</v>
      </c>
      <c r="G62" s="260" t="s">
        <v>477</v>
      </c>
      <c r="H62" s="260" t="s">
        <v>478</v>
      </c>
      <c r="I62" s="260" t="s">
        <v>479</v>
      </c>
      <c r="J62" s="260" t="s">
        <v>480</v>
      </c>
      <c r="K62" s="260" t="s">
        <v>481</v>
      </c>
      <c r="L62" s="260" t="s">
        <v>482</v>
      </c>
      <c r="M62" s="260" t="s">
        <v>483</v>
      </c>
      <c r="N62" s="260" t="s">
        <v>661</v>
      </c>
      <c r="O62" s="104"/>
      <c r="P62" s="104"/>
      <c r="Q62" s="104"/>
      <c r="R62" s="104"/>
      <c r="S62" s="127"/>
      <c r="T62" s="231"/>
      <c r="U62" s="231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127"/>
      <c r="AH62" s="127"/>
      <c r="AI62" s="127"/>
      <c r="AJ62" s="127"/>
      <c r="AK62" s="127"/>
      <c r="AL62" s="127"/>
      <c r="AM62" s="127"/>
      <c r="AN62" s="127"/>
      <c r="AO62" s="127"/>
      <c r="AP62" s="127"/>
      <c r="AQ62" s="127"/>
      <c r="AR62" s="127"/>
      <c r="AS62" s="127"/>
      <c r="AT62" s="127"/>
    </row>
    <row r="63" ht="14.25" customHeight="1">
      <c r="A63" s="114" t="s">
        <v>610</v>
      </c>
      <c r="B63" s="224">
        <v>13.0</v>
      </c>
      <c r="C63" s="224">
        <v>8.0</v>
      </c>
      <c r="D63" s="224">
        <v>6.0</v>
      </c>
      <c r="E63" s="224">
        <v>10.0</v>
      </c>
      <c r="F63" s="224">
        <v>10.0</v>
      </c>
      <c r="G63" s="224">
        <v>9.0</v>
      </c>
      <c r="H63" s="241"/>
      <c r="I63" s="241"/>
      <c r="J63" s="241"/>
      <c r="K63" s="241"/>
      <c r="L63" s="241"/>
      <c r="M63" s="241"/>
      <c r="N63" s="224">
        <v>9.0</v>
      </c>
      <c r="O63" s="104"/>
      <c r="P63" s="104"/>
      <c r="Q63" s="104"/>
      <c r="R63" s="104"/>
      <c r="S63" s="127"/>
      <c r="T63" s="231"/>
      <c r="U63" s="231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127"/>
      <c r="AH63" s="127"/>
      <c r="AI63" s="127"/>
      <c r="AJ63" s="127"/>
      <c r="AK63" s="127"/>
      <c r="AL63" s="127"/>
      <c r="AM63" s="127"/>
      <c r="AN63" s="127"/>
      <c r="AO63" s="127"/>
      <c r="AP63" s="127"/>
      <c r="AQ63" s="127"/>
      <c r="AR63" s="127"/>
      <c r="AS63" s="127"/>
      <c r="AT63" s="127"/>
    </row>
    <row r="64" ht="14.25" customHeight="1">
      <c r="A64" s="195" t="s">
        <v>624</v>
      </c>
      <c r="B64" s="206">
        <v>14.0</v>
      </c>
      <c r="C64" s="206">
        <v>7.0</v>
      </c>
      <c r="D64" s="206">
        <v>17.0</v>
      </c>
      <c r="E64" s="206">
        <v>24.0</v>
      </c>
      <c r="F64" s="206">
        <v>15.0</v>
      </c>
      <c r="G64" s="206">
        <v>35.0</v>
      </c>
      <c r="H64" s="104"/>
      <c r="I64" s="104"/>
      <c r="J64" s="104"/>
      <c r="K64" s="104"/>
      <c r="L64" s="104"/>
      <c r="M64" s="104"/>
      <c r="N64" s="206">
        <v>15.0</v>
      </c>
      <c r="O64" s="104"/>
      <c r="P64" s="104"/>
      <c r="Q64" s="104"/>
      <c r="R64" s="104"/>
      <c r="S64" s="127"/>
      <c r="T64" s="231"/>
      <c r="U64" s="231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127"/>
      <c r="AH64" s="127"/>
      <c r="AI64" s="127"/>
      <c r="AJ64" s="127"/>
      <c r="AK64" s="127"/>
      <c r="AL64" s="127"/>
      <c r="AM64" s="127"/>
      <c r="AN64" s="127"/>
      <c r="AO64" s="127"/>
      <c r="AP64" s="127"/>
      <c r="AQ64" s="127"/>
      <c r="AR64" s="127"/>
      <c r="AS64" s="127"/>
      <c r="AT64" s="127"/>
    </row>
    <row r="65" ht="14.25" customHeight="1">
      <c r="A65" s="114" t="s">
        <v>627</v>
      </c>
      <c r="B65" s="224">
        <v>17.0</v>
      </c>
      <c r="C65" s="224">
        <v>10.0</v>
      </c>
      <c r="D65" s="224">
        <v>8.0</v>
      </c>
      <c r="E65" s="224">
        <v>13.0</v>
      </c>
      <c r="F65" s="224">
        <v>11.0</v>
      </c>
      <c r="G65" s="224">
        <v>15.0</v>
      </c>
      <c r="H65" s="241"/>
      <c r="I65" s="241"/>
      <c r="J65" s="241"/>
      <c r="K65" s="241"/>
      <c r="L65" s="241"/>
      <c r="M65" s="241"/>
      <c r="N65" s="224">
        <v>12.0</v>
      </c>
      <c r="O65" s="104"/>
      <c r="P65" s="104"/>
      <c r="Q65" s="104"/>
      <c r="R65" s="104"/>
      <c r="S65" s="127"/>
      <c r="T65" s="231"/>
      <c r="U65" s="231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127"/>
      <c r="AH65" s="127"/>
      <c r="AI65" s="127"/>
      <c r="AJ65" s="127"/>
      <c r="AK65" s="127"/>
      <c r="AL65" s="127"/>
      <c r="AM65" s="127"/>
      <c r="AN65" s="127"/>
      <c r="AO65" s="127"/>
      <c r="AP65" s="127"/>
      <c r="AQ65" s="127"/>
      <c r="AR65" s="127"/>
      <c r="AS65" s="127"/>
      <c r="AT65" s="127"/>
    </row>
    <row r="66" ht="14.25" customHeight="1">
      <c r="A66" s="195" t="s">
        <v>629</v>
      </c>
      <c r="B66" s="206">
        <v>44.0</v>
      </c>
      <c r="C66" s="206">
        <v>25.0</v>
      </c>
      <c r="D66" s="206">
        <v>31.0</v>
      </c>
      <c r="E66" s="206">
        <v>47.0</v>
      </c>
      <c r="F66" s="206">
        <v>36.0</v>
      </c>
      <c r="G66" s="206">
        <v>59.0</v>
      </c>
      <c r="H66" s="104"/>
      <c r="I66" s="104"/>
      <c r="J66" s="104"/>
      <c r="K66" s="104"/>
      <c r="L66" s="104"/>
      <c r="M66" s="104"/>
      <c r="N66" s="206">
        <v>37.0</v>
      </c>
      <c r="O66" s="104"/>
      <c r="P66" s="104"/>
      <c r="Q66" s="104"/>
      <c r="R66" s="104"/>
      <c r="S66" s="127"/>
      <c r="T66" s="231"/>
      <c r="U66" s="231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127"/>
      <c r="AH66" s="127"/>
      <c r="AI66" s="127"/>
      <c r="AJ66" s="127"/>
      <c r="AK66" s="127"/>
      <c r="AL66" s="127"/>
      <c r="AM66" s="127"/>
      <c r="AN66" s="127"/>
      <c r="AO66" s="127"/>
      <c r="AP66" s="127"/>
      <c r="AQ66" s="127"/>
      <c r="AR66" s="127"/>
      <c r="AS66" s="127"/>
      <c r="AT66" s="127"/>
    </row>
    <row r="67" ht="14.25" customHeight="1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27"/>
      <c r="T67" s="231"/>
      <c r="U67" s="231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127"/>
      <c r="AH67" s="127"/>
      <c r="AI67" s="127"/>
      <c r="AJ67" s="127"/>
      <c r="AK67" s="127"/>
      <c r="AL67" s="127"/>
      <c r="AM67" s="127"/>
      <c r="AN67" s="127"/>
      <c r="AO67" s="127"/>
      <c r="AP67" s="127"/>
      <c r="AQ67" s="127"/>
      <c r="AR67" s="127"/>
      <c r="AS67" s="127"/>
      <c r="AT67" s="127"/>
    </row>
    <row r="68" ht="14.25" customHeight="1">
      <c r="A68" s="260" t="s">
        <v>677</v>
      </c>
      <c r="B68" s="261">
        <f>B60-44</f>
        <v>-112</v>
      </c>
      <c r="C68" s="261">
        <f>C60-25</f>
        <v>-18</v>
      </c>
      <c r="D68" s="261">
        <f>D60-31</f>
        <v>-58</v>
      </c>
      <c r="E68" s="261">
        <f>E60-47</f>
        <v>-23</v>
      </c>
      <c r="F68" s="261">
        <f>F60-36</f>
        <v>-39</v>
      </c>
      <c r="G68" s="261">
        <f>G60-59</f>
        <v>-77</v>
      </c>
      <c r="H68" s="260"/>
      <c r="I68" s="260"/>
      <c r="J68" s="260"/>
      <c r="K68" s="260"/>
      <c r="L68" s="260"/>
      <c r="M68" s="260"/>
      <c r="N68" s="260"/>
      <c r="O68" s="104"/>
      <c r="P68" s="104"/>
      <c r="Q68" s="104"/>
      <c r="R68" s="104"/>
      <c r="S68" s="127"/>
      <c r="T68" s="231"/>
      <c r="U68" s="231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</row>
    <row r="69" ht="14.25" customHeight="1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27"/>
      <c r="T69" s="231"/>
      <c r="U69" s="231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127"/>
      <c r="AH69" s="127"/>
      <c r="AI69" s="127"/>
      <c r="AJ69" s="127"/>
      <c r="AK69" s="127"/>
      <c r="AL69" s="127"/>
      <c r="AM69" s="127"/>
      <c r="AN69" s="127"/>
      <c r="AO69" s="127"/>
      <c r="AP69" s="127"/>
      <c r="AQ69" s="127"/>
      <c r="AR69" s="127"/>
      <c r="AS69" s="127"/>
      <c r="AT69" s="127"/>
    </row>
    <row r="70" ht="14.25" customHeight="1">
      <c r="A70" s="102" t="s">
        <v>685</v>
      </c>
      <c r="B70" s="102" t="s">
        <v>472</v>
      </c>
      <c r="C70" s="102" t="s">
        <v>473</v>
      </c>
      <c r="D70" s="102" t="s">
        <v>474</v>
      </c>
      <c r="E70" s="102" t="s">
        <v>475</v>
      </c>
      <c r="F70" s="102" t="s">
        <v>476</v>
      </c>
      <c r="G70" s="102" t="s">
        <v>477</v>
      </c>
      <c r="H70" s="102" t="s">
        <v>478</v>
      </c>
      <c r="I70" s="102" t="s">
        <v>479</v>
      </c>
      <c r="J70" s="102" t="s">
        <v>480</v>
      </c>
      <c r="K70" s="102" t="s">
        <v>481</v>
      </c>
      <c r="L70" s="102" t="s">
        <v>482</v>
      </c>
      <c r="M70" s="102" t="s">
        <v>483</v>
      </c>
      <c r="N70" s="102" t="s">
        <v>591</v>
      </c>
      <c r="O70" s="104"/>
      <c r="P70" s="104"/>
      <c r="Q70" s="104"/>
      <c r="R70" s="104"/>
      <c r="S70" s="127"/>
      <c r="T70" s="231"/>
      <c r="U70" s="231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127"/>
      <c r="AH70" s="127"/>
      <c r="AI70" s="127"/>
      <c r="AJ70" s="127"/>
      <c r="AK70" s="127"/>
      <c r="AL70" s="127"/>
      <c r="AM70" s="127"/>
      <c r="AN70" s="127"/>
      <c r="AO70" s="127"/>
      <c r="AP70" s="127"/>
      <c r="AQ70" s="127"/>
      <c r="AR70" s="127"/>
      <c r="AS70" s="127"/>
      <c r="AT70" s="127"/>
    </row>
    <row r="71" ht="14.25" customHeight="1">
      <c r="A71" s="114" t="s">
        <v>462</v>
      </c>
      <c r="B71" s="223">
        <v>1174708.0</v>
      </c>
      <c r="C71" s="223">
        <v>1082317.0</v>
      </c>
      <c r="D71" s="223">
        <v>1061914.0</v>
      </c>
      <c r="E71" s="223">
        <v>1117310.0</v>
      </c>
      <c r="F71" s="223">
        <v>1038999.0</v>
      </c>
      <c r="G71" s="223">
        <v>1191753.0</v>
      </c>
      <c r="H71" s="224" t="s">
        <v>507</v>
      </c>
      <c r="I71" s="224" t="s">
        <v>507</v>
      </c>
      <c r="J71" s="224" t="s">
        <v>507</v>
      </c>
      <c r="K71" s="224" t="s">
        <v>507</v>
      </c>
      <c r="L71" s="224" t="s">
        <v>507</v>
      </c>
      <c r="M71" s="224" t="s">
        <v>507</v>
      </c>
      <c r="N71" s="223">
        <v>1095049.0</v>
      </c>
      <c r="O71" s="104"/>
      <c r="P71" s="104"/>
      <c r="Q71" s="104"/>
      <c r="R71" s="104"/>
      <c r="S71" s="127"/>
      <c r="T71" s="231"/>
      <c r="U71" s="231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  <c r="AF71" s="222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</row>
    <row r="72" ht="14.25" customHeight="1">
      <c r="A72" s="195" t="s">
        <v>602</v>
      </c>
      <c r="B72" s="263">
        <v>1379.0</v>
      </c>
      <c r="C72" s="263">
        <v>1373.0</v>
      </c>
      <c r="D72" s="263">
        <v>1340.0</v>
      </c>
      <c r="E72" s="263">
        <v>1361.0</v>
      </c>
      <c r="F72" s="263">
        <v>1364.0</v>
      </c>
      <c r="G72" s="263">
        <v>1346.0</v>
      </c>
      <c r="H72" s="206" t="s">
        <v>507</v>
      </c>
      <c r="I72" s="206" t="s">
        <v>507</v>
      </c>
      <c r="J72" s="206" t="s">
        <v>507</v>
      </c>
      <c r="K72" s="206" t="s">
        <v>507</v>
      </c>
      <c r="L72" s="206" t="s">
        <v>507</v>
      </c>
      <c r="M72" s="206" t="s">
        <v>507</v>
      </c>
      <c r="N72" s="263">
        <v>1363.0</v>
      </c>
      <c r="O72" s="104"/>
      <c r="P72" s="104"/>
      <c r="Q72" s="104"/>
      <c r="R72" s="104"/>
      <c r="S72" s="127"/>
      <c r="T72" s="231"/>
      <c r="U72" s="231"/>
      <c r="V72" s="222"/>
      <c r="W72" s="222"/>
      <c r="X72" s="222"/>
      <c r="Y72" s="222"/>
      <c r="Z72" s="222"/>
      <c r="AA72" s="222"/>
      <c r="AB72" s="222"/>
      <c r="AC72" s="222"/>
      <c r="AD72" s="222"/>
      <c r="AE72" s="222"/>
      <c r="AF72" s="222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</row>
    <row r="73" ht="14.25" customHeight="1">
      <c r="A73" s="264" t="s">
        <v>629</v>
      </c>
      <c r="B73" s="265">
        <v>852.0</v>
      </c>
      <c r="C73" s="265">
        <v>788.0</v>
      </c>
      <c r="D73" s="265">
        <v>792.0</v>
      </c>
      <c r="E73" s="265">
        <v>821.0</v>
      </c>
      <c r="F73" s="265">
        <v>762.0</v>
      </c>
      <c r="G73" s="265">
        <v>885.0</v>
      </c>
      <c r="H73" s="265" t="s">
        <v>507</v>
      </c>
      <c r="I73" s="265" t="s">
        <v>507</v>
      </c>
      <c r="J73" s="265" t="s">
        <v>507</v>
      </c>
      <c r="K73" s="265" t="s">
        <v>507</v>
      </c>
      <c r="L73" s="265" t="s">
        <v>507</v>
      </c>
      <c r="M73" s="265" t="s">
        <v>507</v>
      </c>
      <c r="N73" s="265">
        <v>803.0</v>
      </c>
      <c r="O73" s="104"/>
      <c r="P73" s="104"/>
      <c r="Q73" s="104"/>
      <c r="R73" s="104"/>
      <c r="S73" s="127"/>
      <c r="T73" s="231"/>
      <c r="U73" s="231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  <c r="AF73" s="222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</row>
    <row r="74" ht="14.25" customHeight="1">
      <c r="A74" s="181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231"/>
      <c r="U74" s="231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  <c r="AF74" s="222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</row>
    <row r="75" ht="14.25" customHeight="1">
      <c r="A75" s="181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231"/>
      <c r="U75" s="231"/>
      <c r="V75" s="222"/>
      <c r="W75" s="222"/>
      <c r="X75" s="222"/>
      <c r="Y75" s="222"/>
      <c r="Z75" s="222"/>
      <c r="AA75" s="222"/>
      <c r="AB75" s="222"/>
      <c r="AC75" s="222"/>
      <c r="AD75" s="222"/>
      <c r="AE75" s="222"/>
      <c r="AF75" s="222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</row>
    <row r="76" ht="14.25" customHeight="1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231"/>
      <c r="U76" s="231"/>
      <c r="V76" s="222"/>
      <c r="W76" s="222"/>
      <c r="X76" s="222"/>
      <c r="Y76" s="222"/>
      <c r="Z76" s="222"/>
      <c r="AA76" s="222"/>
      <c r="AB76" s="222"/>
      <c r="AC76" s="222"/>
      <c r="AD76" s="222"/>
      <c r="AE76" s="222"/>
      <c r="AF76" s="222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</row>
    <row r="77" ht="14.25" customHeight="1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267"/>
      <c r="O77" s="269"/>
      <c r="P77" s="269"/>
      <c r="Q77" s="269"/>
      <c r="R77" s="269"/>
      <c r="S77" s="270"/>
      <c r="T77" s="231"/>
      <c r="U77" s="231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  <c r="AF77" s="222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</row>
    <row r="78" ht="14.25" customHeight="1">
      <c r="A78" s="271" t="s">
        <v>704</v>
      </c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272"/>
      <c r="S78" s="273"/>
      <c r="T78" s="231"/>
      <c r="U78" s="231"/>
      <c r="V78" s="222"/>
      <c r="W78" s="222"/>
      <c r="X78" s="222"/>
      <c r="Y78" s="222"/>
      <c r="Z78" s="222"/>
      <c r="AA78" s="222"/>
      <c r="AB78" s="222"/>
      <c r="AC78" s="222"/>
      <c r="AD78" s="222"/>
      <c r="AE78" s="222"/>
      <c r="AF78" s="222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</row>
    <row r="79" ht="14.25" customHeight="1">
      <c r="A79" s="206" t="s">
        <v>707</v>
      </c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272"/>
      <c r="S79" s="273"/>
      <c r="T79" s="231"/>
      <c r="U79" s="231"/>
      <c r="V79" s="222"/>
      <c r="W79" s="222"/>
      <c r="X79" s="222"/>
      <c r="Y79" s="222"/>
      <c r="Z79" s="222"/>
      <c r="AA79" s="222"/>
      <c r="AB79" s="222"/>
      <c r="AC79" s="222"/>
      <c r="AD79" s="222"/>
      <c r="AE79" s="222"/>
      <c r="AF79" s="222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</row>
    <row r="80" ht="14.25" customHeight="1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272"/>
      <c r="S80" s="273"/>
      <c r="T80" s="231"/>
      <c r="U80" s="231"/>
      <c r="V80" s="222"/>
      <c r="W80" s="222"/>
      <c r="X80" s="222"/>
      <c r="Y80" s="222"/>
      <c r="Z80" s="222"/>
      <c r="AA80" s="222"/>
      <c r="AB80" s="222"/>
      <c r="AC80" s="222"/>
      <c r="AD80" s="222"/>
      <c r="AE80" s="222"/>
      <c r="AF80" s="222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</row>
    <row r="81" ht="14.25" customHeight="1">
      <c r="A81" s="27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272"/>
      <c r="S81" s="273"/>
      <c r="T81" s="231"/>
      <c r="U81" s="231"/>
      <c r="V81" s="222"/>
      <c r="W81" s="222"/>
      <c r="X81" s="222"/>
      <c r="Y81" s="222"/>
      <c r="Z81" s="222"/>
      <c r="AA81" s="222"/>
      <c r="AB81" s="222"/>
      <c r="AC81" s="222"/>
      <c r="AD81" s="222"/>
      <c r="AE81" s="222"/>
      <c r="AF81" s="222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</row>
    <row r="82" ht="14.25" customHeight="1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272"/>
      <c r="S82" s="273"/>
      <c r="T82" s="231"/>
      <c r="U82" s="231"/>
      <c r="V82" s="222"/>
      <c r="W82" s="222"/>
      <c r="X82" s="222"/>
      <c r="Y82" s="222"/>
      <c r="Z82" s="222"/>
      <c r="AA82" s="222"/>
      <c r="AB82" s="222"/>
      <c r="AC82" s="222"/>
      <c r="AD82" s="222"/>
      <c r="AE82" s="222"/>
      <c r="AF82" s="222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</row>
    <row r="83" ht="14.25" customHeight="1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272"/>
      <c r="S83" s="273"/>
      <c r="T83" s="231"/>
      <c r="U83" s="231"/>
      <c r="V83" s="222"/>
      <c r="W83" s="222"/>
      <c r="X83" s="222"/>
      <c r="Y83" s="222"/>
      <c r="Z83" s="222"/>
      <c r="AA83" s="222"/>
      <c r="AB83" s="222"/>
      <c r="AC83" s="222"/>
      <c r="AD83" s="222"/>
      <c r="AE83" s="222"/>
      <c r="AF83" s="222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</row>
    <row r="84" ht="14.25" customHeight="1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272"/>
      <c r="S84" s="273"/>
      <c r="T84" s="231"/>
      <c r="U84" s="231"/>
      <c r="V84" s="222"/>
      <c r="W84" s="222"/>
      <c r="X84" s="222"/>
      <c r="Y84" s="222"/>
      <c r="Z84" s="222"/>
      <c r="AA84" s="222"/>
      <c r="AB84" s="222"/>
      <c r="AC84" s="222"/>
      <c r="AD84" s="222"/>
      <c r="AE84" s="222"/>
      <c r="AF84" s="222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</row>
    <row r="85" ht="14.25" customHeight="1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272"/>
      <c r="S85" s="273"/>
      <c r="T85" s="231"/>
      <c r="U85" s="231"/>
      <c r="V85" s="222"/>
      <c r="W85" s="222"/>
      <c r="X85" s="222"/>
      <c r="Y85" s="222"/>
      <c r="Z85" s="222"/>
      <c r="AA85" s="222"/>
      <c r="AB85" s="222"/>
      <c r="AC85" s="222"/>
      <c r="AD85" s="222"/>
      <c r="AE85" s="222"/>
      <c r="AF85" s="222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</row>
    <row r="86" ht="14.25" customHeight="1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272"/>
      <c r="S86" s="273"/>
      <c r="T86" s="231"/>
      <c r="U86" s="231"/>
      <c r="V86" s="222"/>
      <c r="W86" s="222"/>
      <c r="X86" s="222"/>
      <c r="Y86" s="222"/>
      <c r="Z86" s="222"/>
      <c r="AA86" s="222"/>
      <c r="AB86" s="222"/>
      <c r="AC86" s="222"/>
      <c r="AD86" s="222"/>
      <c r="AE86" s="222"/>
      <c r="AF86" s="222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</row>
    <row r="87" ht="14.25" customHeight="1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272"/>
      <c r="S87" s="273"/>
      <c r="T87" s="231"/>
      <c r="U87" s="231"/>
      <c r="V87" s="222"/>
      <c r="W87" s="222"/>
      <c r="X87" s="222"/>
      <c r="Y87" s="222"/>
      <c r="Z87" s="222"/>
      <c r="AA87" s="222"/>
      <c r="AB87" s="222"/>
      <c r="AC87" s="222"/>
      <c r="AD87" s="222"/>
      <c r="AE87" s="222"/>
      <c r="AF87" s="222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</row>
    <row r="88" ht="14.25" customHeight="1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272"/>
      <c r="S88" s="273"/>
      <c r="T88" s="231"/>
      <c r="U88" s="231"/>
      <c r="V88" s="222"/>
      <c r="W88" s="222"/>
      <c r="X88" s="222"/>
      <c r="Y88" s="222"/>
      <c r="Z88" s="222"/>
      <c r="AA88" s="222"/>
      <c r="AB88" s="222"/>
      <c r="AC88" s="222"/>
      <c r="AD88" s="222"/>
      <c r="AE88" s="222"/>
      <c r="AF88" s="222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</row>
    <row r="89" ht="14.25" customHeight="1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272"/>
      <c r="S89" s="273"/>
      <c r="T89" s="231"/>
      <c r="U89" s="231"/>
      <c r="V89" s="222"/>
      <c r="W89" s="222"/>
      <c r="X89" s="222"/>
      <c r="Y89" s="222"/>
      <c r="Z89" s="222"/>
      <c r="AA89" s="222"/>
      <c r="AB89" s="222"/>
      <c r="AC89" s="222"/>
      <c r="AD89" s="222"/>
      <c r="AE89" s="222"/>
      <c r="AF89" s="222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</row>
    <row r="90" ht="14.25" customHeight="1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272"/>
      <c r="S90" s="273"/>
      <c r="T90" s="231"/>
      <c r="U90" s="231"/>
      <c r="V90" s="222"/>
      <c r="W90" s="222"/>
      <c r="X90" s="222"/>
      <c r="Y90" s="222"/>
      <c r="Z90" s="222"/>
      <c r="AA90" s="222"/>
      <c r="AB90" s="222"/>
      <c r="AC90" s="222"/>
      <c r="AD90" s="222"/>
      <c r="AE90" s="222"/>
      <c r="AF90" s="222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</row>
    <row r="91" ht="14.25" customHeight="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272"/>
      <c r="S91" s="273"/>
      <c r="T91" s="231"/>
      <c r="U91" s="231"/>
      <c r="V91" s="222"/>
      <c r="W91" s="222"/>
      <c r="X91" s="222"/>
      <c r="Y91" s="222"/>
      <c r="Z91" s="222"/>
      <c r="AA91" s="222"/>
      <c r="AB91" s="222"/>
      <c r="AC91" s="222"/>
      <c r="AD91" s="222"/>
      <c r="AE91" s="222"/>
      <c r="AF91" s="222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</row>
    <row r="92" ht="14.25" customHeight="1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275"/>
      <c r="O92" s="276"/>
      <c r="P92" s="276"/>
      <c r="Q92" s="276"/>
      <c r="R92" s="276"/>
      <c r="S92" s="277"/>
      <c r="T92" s="231"/>
      <c r="U92" s="231"/>
      <c r="V92" s="222"/>
      <c r="W92" s="222"/>
      <c r="X92" s="222"/>
      <c r="Y92" s="222"/>
      <c r="Z92" s="222"/>
      <c r="AA92" s="222"/>
      <c r="AB92" s="222"/>
      <c r="AC92" s="222"/>
      <c r="AD92" s="222"/>
      <c r="AE92" s="222"/>
      <c r="AF92" s="222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</row>
    <row r="93" ht="14.25" customHeight="1">
      <c r="A93" s="27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274"/>
      <c r="O93" s="104"/>
      <c r="P93" s="104"/>
      <c r="Q93" s="104"/>
      <c r="R93" s="104"/>
      <c r="S93" s="104"/>
      <c r="T93" s="231"/>
      <c r="U93" s="231"/>
      <c r="V93" s="222"/>
      <c r="W93" s="222"/>
      <c r="X93" s="222"/>
      <c r="Y93" s="222"/>
      <c r="Z93" s="222"/>
      <c r="AA93" s="222"/>
      <c r="AB93" s="222"/>
      <c r="AC93" s="222"/>
      <c r="AD93" s="222"/>
      <c r="AE93" s="222"/>
      <c r="AF93" s="222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</row>
    <row r="94" ht="14.25" customHeight="1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231"/>
      <c r="U94" s="231"/>
      <c r="V94" s="222"/>
      <c r="W94" s="222"/>
      <c r="X94" s="222"/>
      <c r="Y94" s="222"/>
      <c r="Z94" s="222"/>
      <c r="AA94" s="222"/>
      <c r="AB94" s="222"/>
      <c r="AC94" s="222"/>
      <c r="AD94" s="222"/>
      <c r="AE94" s="222"/>
      <c r="AF94" s="222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</row>
    <row r="95" ht="14.25" customHeight="1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231"/>
      <c r="U95" s="231"/>
      <c r="V95" s="222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</row>
    <row r="96" ht="14.25" customHeight="1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231"/>
      <c r="U96" s="231"/>
      <c r="V96" s="222"/>
      <c r="W96" s="222"/>
      <c r="X96" s="222"/>
      <c r="Y96" s="222"/>
      <c r="Z96" s="222"/>
      <c r="AA96" s="222"/>
      <c r="AB96" s="222"/>
      <c r="AC96" s="222"/>
      <c r="AD96" s="222"/>
      <c r="AE96" s="222"/>
      <c r="AF96" s="222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</row>
    <row r="97" ht="14.25" customHeight="1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231"/>
      <c r="U97" s="231"/>
      <c r="V97" s="222"/>
      <c r="W97" s="222"/>
      <c r="X97" s="222"/>
      <c r="Y97" s="222"/>
      <c r="Z97" s="222"/>
      <c r="AA97" s="222"/>
      <c r="AB97" s="222"/>
      <c r="AC97" s="222"/>
      <c r="AD97" s="222"/>
      <c r="AE97" s="222"/>
      <c r="AF97" s="222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</row>
    <row r="98" ht="14.25" customHeight="1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231"/>
      <c r="U98" s="231"/>
      <c r="V98" s="222"/>
      <c r="W98" s="222"/>
      <c r="X98" s="222"/>
      <c r="Y98" s="222"/>
      <c r="Z98" s="222"/>
      <c r="AA98" s="222"/>
      <c r="AB98" s="222"/>
      <c r="AC98" s="222"/>
      <c r="AD98" s="222"/>
      <c r="AE98" s="222"/>
      <c r="AF98" s="222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</row>
    <row r="99" ht="14.25" customHeight="1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231"/>
      <c r="U99" s="231"/>
      <c r="V99" s="222"/>
      <c r="W99" s="222"/>
      <c r="X99" s="222"/>
      <c r="Y99" s="222"/>
      <c r="Z99" s="222"/>
      <c r="AA99" s="222"/>
      <c r="AB99" s="222"/>
      <c r="AC99" s="222"/>
      <c r="AD99" s="222"/>
      <c r="AE99" s="222"/>
      <c r="AF99" s="222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</row>
    <row r="100" ht="14.25" customHeight="1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231"/>
      <c r="U100" s="231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222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</row>
    <row r="101" ht="14.25" customHeight="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231"/>
      <c r="U101" s="231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</row>
    <row r="102" ht="14.25" customHeight="1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231"/>
      <c r="U102" s="231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</row>
    <row r="103" ht="14.25" customHeight="1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231"/>
      <c r="U103" s="231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</row>
    <row r="104" ht="14.25" customHeight="1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231"/>
      <c r="U104" s="231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</row>
    <row r="105" ht="14.25" customHeight="1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231"/>
      <c r="U105" s="231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</row>
    <row r="106" ht="14.25" customHeight="1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231"/>
      <c r="U106" s="231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</row>
    <row r="107" ht="14.25" customHeight="1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231"/>
      <c r="U107" s="231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</row>
    <row r="108" ht="14.25" customHeight="1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231"/>
      <c r="U108" s="231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</row>
    <row r="109" ht="14.25" customHeight="1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231"/>
      <c r="U109" s="231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</row>
    <row r="110" ht="14.25" customHeight="1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231"/>
      <c r="U110" s="231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</row>
    <row r="111" ht="14.25" customHeight="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231"/>
      <c r="U111" s="231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</row>
    <row r="112" ht="14.25" customHeight="1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231"/>
      <c r="U112" s="231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</row>
    <row r="113" ht="14.25" customHeight="1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231"/>
      <c r="U113" s="231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</row>
    <row r="114" ht="14.25" customHeight="1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231"/>
      <c r="U114" s="231"/>
      <c r="V114" s="222"/>
      <c r="W114" s="222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</row>
    <row r="115" ht="14.25" customHeight="1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231"/>
      <c r="U115" s="231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</row>
    <row r="116" ht="14.25" customHeight="1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231"/>
      <c r="U116" s="231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</row>
    <row r="117" ht="14.25" customHeight="1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231"/>
      <c r="U117" s="231"/>
      <c r="V117" s="222"/>
      <c r="W117" s="222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</row>
    <row r="118" ht="14.25" customHeight="1">
      <c r="O118" s="127"/>
      <c r="P118" s="127"/>
      <c r="Q118" s="127"/>
      <c r="R118" s="127"/>
      <c r="S118" s="127"/>
      <c r="T118" s="231"/>
      <c r="U118" s="231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</row>
    <row r="119" ht="14.25" customHeight="1">
      <c r="O119" s="127"/>
      <c r="P119" s="127"/>
      <c r="Q119" s="127"/>
      <c r="R119" s="127"/>
      <c r="S119" s="127"/>
      <c r="T119" s="231"/>
      <c r="U119" s="231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</row>
    <row r="120" ht="14.25" customHeight="1">
      <c r="O120" s="127"/>
      <c r="P120" s="127"/>
      <c r="Q120" s="127"/>
      <c r="R120" s="127"/>
      <c r="S120" s="127"/>
      <c r="T120" s="231"/>
      <c r="U120" s="231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</row>
    <row r="121" ht="14.25" customHeight="1">
      <c r="O121" s="127"/>
      <c r="P121" s="127"/>
      <c r="Q121" s="127"/>
      <c r="R121" s="127"/>
      <c r="S121" s="127"/>
      <c r="T121" s="231"/>
      <c r="U121" s="231"/>
      <c r="V121" s="222"/>
      <c r="W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</row>
    <row r="122" ht="14.25" customHeight="1">
      <c r="O122" s="127"/>
      <c r="P122" s="127"/>
      <c r="Q122" s="127"/>
      <c r="R122" s="127"/>
      <c r="S122" s="127"/>
      <c r="T122" s="231"/>
      <c r="U122" s="231"/>
      <c r="V122" s="222"/>
      <c r="W122" s="222"/>
      <c r="X122" s="222"/>
      <c r="Y122" s="222"/>
      <c r="Z122" s="222"/>
      <c r="AA122" s="222"/>
      <c r="AB122" s="222"/>
      <c r="AC122" s="222"/>
      <c r="AD122" s="222"/>
      <c r="AE122" s="222"/>
      <c r="AF122" s="222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</row>
    <row r="123" ht="14.2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78"/>
      <c r="U123" s="278"/>
      <c r="V123" s="279"/>
      <c r="W123" s="279"/>
      <c r="X123" s="279"/>
      <c r="Y123" s="279"/>
      <c r="Z123" s="279"/>
      <c r="AA123" s="279"/>
      <c r="AB123" s="279"/>
      <c r="AC123" s="279"/>
      <c r="AD123" s="279"/>
      <c r="AE123" s="279"/>
      <c r="AF123" s="279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80"/>
      <c r="AR123" s="280"/>
      <c r="AS123" s="280"/>
      <c r="AT123" s="280"/>
    </row>
    <row r="124" ht="14.2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78"/>
      <c r="U124" s="278"/>
      <c r="V124" s="279"/>
      <c r="W124" s="279"/>
      <c r="X124" s="279"/>
      <c r="Y124" s="279"/>
      <c r="Z124" s="279"/>
      <c r="AA124" s="279"/>
      <c r="AB124" s="279"/>
      <c r="AC124" s="279"/>
      <c r="AD124" s="279"/>
      <c r="AE124" s="279"/>
      <c r="AF124" s="279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80"/>
      <c r="AR124" s="280"/>
      <c r="AS124" s="280"/>
      <c r="AT124" s="280"/>
    </row>
    <row r="125" ht="14.2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78"/>
      <c r="U125" s="278"/>
      <c r="V125" s="279"/>
      <c r="W125" s="279"/>
      <c r="X125" s="279"/>
      <c r="Y125" s="279"/>
      <c r="Z125" s="279"/>
      <c r="AA125" s="279"/>
      <c r="AB125" s="279"/>
      <c r="AC125" s="279"/>
      <c r="AD125" s="279"/>
      <c r="AE125" s="279"/>
      <c r="AF125" s="279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80"/>
      <c r="AR125" s="280"/>
      <c r="AS125" s="280"/>
      <c r="AT125" s="280"/>
    </row>
    <row r="126" ht="14.2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78"/>
      <c r="U126" s="278"/>
      <c r="V126" s="279"/>
      <c r="W126" s="279"/>
      <c r="X126" s="279"/>
      <c r="Y126" s="279"/>
      <c r="Z126" s="279"/>
      <c r="AA126" s="279"/>
      <c r="AB126" s="279"/>
      <c r="AC126" s="279"/>
      <c r="AD126" s="279"/>
      <c r="AE126" s="279"/>
      <c r="AF126" s="279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80"/>
      <c r="AR126" s="280"/>
      <c r="AS126" s="280"/>
      <c r="AT126" s="280"/>
    </row>
    <row r="127" ht="14.2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78"/>
      <c r="U127" s="278"/>
      <c r="V127" s="279"/>
      <c r="W127" s="279"/>
      <c r="X127" s="279"/>
      <c r="Y127" s="279"/>
      <c r="Z127" s="279"/>
      <c r="AA127" s="279"/>
      <c r="AB127" s="279"/>
      <c r="AC127" s="279"/>
      <c r="AD127" s="279"/>
      <c r="AE127" s="279"/>
      <c r="AF127" s="279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80"/>
      <c r="AR127" s="280"/>
      <c r="AS127" s="280"/>
      <c r="AT127" s="280"/>
    </row>
    <row r="128" ht="14.2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78"/>
      <c r="U128" s="278"/>
      <c r="V128" s="279"/>
      <c r="W128" s="279"/>
      <c r="X128" s="279"/>
      <c r="Y128" s="279"/>
      <c r="Z128" s="279"/>
      <c r="AA128" s="279"/>
      <c r="AB128" s="279"/>
      <c r="AC128" s="279"/>
      <c r="AD128" s="279"/>
      <c r="AE128" s="279"/>
      <c r="AF128" s="279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80"/>
      <c r="AR128" s="280"/>
      <c r="AS128" s="280"/>
      <c r="AT128" s="280"/>
    </row>
    <row r="129" ht="14.2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78"/>
      <c r="U129" s="278"/>
      <c r="V129" s="279"/>
      <c r="W129" s="279"/>
      <c r="X129" s="279"/>
      <c r="Y129" s="279"/>
      <c r="Z129" s="279"/>
      <c r="AA129" s="279"/>
      <c r="AB129" s="279"/>
      <c r="AC129" s="279"/>
      <c r="AD129" s="279"/>
      <c r="AE129" s="279"/>
      <c r="AF129" s="279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80"/>
      <c r="AR129" s="280"/>
      <c r="AS129" s="280"/>
      <c r="AT129" s="280"/>
    </row>
    <row r="130" ht="14.2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78"/>
      <c r="U130" s="278"/>
      <c r="V130" s="279"/>
      <c r="W130" s="279"/>
      <c r="X130" s="279"/>
      <c r="Y130" s="279"/>
      <c r="Z130" s="279"/>
      <c r="AA130" s="279"/>
      <c r="AB130" s="279"/>
      <c r="AC130" s="279"/>
      <c r="AD130" s="279"/>
      <c r="AE130" s="279"/>
      <c r="AF130" s="279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80"/>
      <c r="AR130" s="280"/>
      <c r="AS130" s="280"/>
      <c r="AT130" s="280"/>
    </row>
    <row r="131" ht="14.2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78"/>
      <c r="U131" s="278"/>
      <c r="V131" s="279"/>
      <c r="W131" s="279"/>
      <c r="X131" s="279"/>
      <c r="Y131" s="279"/>
      <c r="Z131" s="279"/>
      <c r="AA131" s="279"/>
      <c r="AB131" s="279"/>
      <c r="AC131" s="279"/>
      <c r="AD131" s="279"/>
      <c r="AE131" s="279"/>
      <c r="AF131" s="279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80"/>
      <c r="AR131" s="280"/>
      <c r="AS131" s="280"/>
      <c r="AT131" s="280"/>
    </row>
    <row r="132" ht="14.2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78"/>
      <c r="U132" s="278"/>
      <c r="V132" s="279"/>
      <c r="W132" s="279"/>
      <c r="X132" s="279"/>
      <c r="Y132" s="279"/>
      <c r="Z132" s="279"/>
      <c r="AA132" s="279"/>
      <c r="AB132" s="279"/>
      <c r="AC132" s="279"/>
      <c r="AD132" s="279"/>
      <c r="AE132" s="279"/>
      <c r="AF132" s="279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80"/>
      <c r="AR132" s="280"/>
      <c r="AS132" s="280"/>
      <c r="AT132" s="280"/>
    </row>
    <row r="133" ht="14.2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78"/>
      <c r="U133" s="278"/>
      <c r="V133" s="279"/>
      <c r="W133" s="279"/>
      <c r="X133" s="279"/>
      <c r="Y133" s="279"/>
      <c r="Z133" s="279"/>
      <c r="AA133" s="279"/>
      <c r="AB133" s="279"/>
      <c r="AC133" s="279"/>
      <c r="AD133" s="279"/>
      <c r="AE133" s="279"/>
      <c r="AF133" s="279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80"/>
      <c r="AR133" s="280"/>
      <c r="AS133" s="280"/>
      <c r="AT133" s="280"/>
    </row>
    <row r="134" ht="14.2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78"/>
      <c r="U134" s="278"/>
      <c r="V134" s="279"/>
      <c r="W134" s="279"/>
      <c r="X134" s="279"/>
      <c r="Y134" s="279"/>
      <c r="Z134" s="279"/>
      <c r="AA134" s="279"/>
      <c r="AB134" s="279"/>
      <c r="AC134" s="279"/>
      <c r="AD134" s="279"/>
      <c r="AE134" s="279"/>
      <c r="AF134" s="279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80"/>
      <c r="AR134" s="280"/>
      <c r="AS134" s="280"/>
      <c r="AT134" s="280"/>
    </row>
    <row r="135" ht="14.2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78"/>
      <c r="U135" s="278"/>
      <c r="V135" s="279"/>
      <c r="W135" s="279"/>
      <c r="X135" s="279"/>
      <c r="Y135" s="279"/>
      <c r="Z135" s="279"/>
      <c r="AA135" s="279"/>
      <c r="AB135" s="279"/>
      <c r="AC135" s="279"/>
      <c r="AD135" s="279"/>
      <c r="AE135" s="279"/>
      <c r="AF135" s="279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80"/>
      <c r="AR135" s="280"/>
      <c r="AS135" s="280"/>
      <c r="AT135" s="280"/>
    </row>
    <row r="136" ht="14.2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78"/>
      <c r="U136" s="278"/>
      <c r="V136" s="279"/>
      <c r="W136" s="279"/>
      <c r="X136" s="279"/>
      <c r="Y136" s="279"/>
      <c r="Z136" s="279"/>
      <c r="AA136" s="279"/>
      <c r="AB136" s="279"/>
      <c r="AC136" s="279"/>
      <c r="AD136" s="279"/>
      <c r="AE136" s="279"/>
      <c r="AF136" s="279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80"/>
      <c r="AR136" s="280"/>
      <c r="AS136" s="280"/>
      <c r="AT136" s="280"/>
    </row>
    <row r="137" ht="14.2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78"/>
      <c r="U137" s="278"/>
      <c r="V137" s="279"/>
      <c r="W137" s="279"/>
      <c r="X137" s="279"/>
      <c r="Y137" s="279"/>
      <c r="Z137" s="279"/>
      <c r="AA137" s="279"/>
      <c r="AB137" s="279"/>
      <c r="AC137" s="279"/>
      <c r="AD137" s="279"/>
      <c r="AE137" s="279"/>
      <c r="AF137" s="279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80"/>
      <c r="AR137" s="280"/>
      <c r="AS137" s="280"/>
      <c r="AT137" s="280"/>
    </row>
    <row r="138" ht="14.2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78"/>
      <c r="U138" s="278"/>
      <c r="V138" s="279"/>
      <c r="W138" s="279"/>
      <c r="X138" s="279"/>
      <c r="Y138" s="279"/>
      <c r="Z138" s="279"/>
      <c r="AA138" s="279"/>
      <c r="AB138" s="279"/>
      <c r="AC138" s="279"/>
      <c r="AD138" s="279"/>
      <c r="AE138" s="279"/>
      <c r="AF138" s="279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80"/>
      <c r="AR138" s="280"/>
      <c r="AS138" s="280"/>
      <c r="AT138" s="280"/>
    </row>
    <row r="139" ht="14.2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78"/>
      <c r="U139" s="278"/>
      <c r="V139" s="279"/>
      <c r="W139" s="279"/>
      <c r="X139" s="279"/>
      <c r="Y139" s="279"/>
      <c r="Z139" s="279"/>
      <c r="AA139" s="279"/>
      <c r="AB139" s="279"/>
      <c r="AC139" s="279"/>
      <c r="AD139" s="279"/>
      <c r="AE139" s="279"/>
      <c r="AF139" s="279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80"/>
      <c r="AR139" s="280"/>
      <c r="AS139" s="280"/>
      <c r="AT139" s="280"/>
    </row>
    <row r="140" ht="14.2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78"/>
      <c r="U140" s="278"/>
      <c r="V140" s="279"/>
      <c r="W140" s="279"/>
      <c r="X140" s="279"/>
      <c r="Y140" s="279"/>
      <c r="Z140" s="279"/>
      <c r="AA140" s="279"/>
      <c r="AB140" s="279"/>
      <c r="AC140" s="279"/>
      <c r="AD140" s="279"/>
      <c r="AE140" s="279"/>
      <c r="AF140" s="279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80"/>
      <c r="AR140" s="280"/>
      <c r="AS140" s="280"/>
      <c r="AT140" s="280"/>
    </row>
    <row r="141" ht="14.2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78"/>
      <c r="U141" s="278"/>
      <c r="V141" s="279"/>
      <c r="W141" s="279"/>
      <c r="X141" s="279"/>
      <c r="Y141" s="279"/>
      <c r="Z141" s="279"/>
      <c r="AA141" s="279"/>
      <c r="AB141" s="279"/>
      <c r="AC141" s="279"/>
      <c r="AD141" s="279"/>
      <c r="AE141" s="279"/>
      <c r="AF141" s="279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80"/>
      <c r="AR141" s="280"/>
      <c r="AS141" s="280"/>
      <c r="AT141" s="280"/>
    </row>
    <row r="142" ht="14.2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78"/>
      <c r="U142" s="278"/>
      <c r="V142" s="279"/>
      <c r="W142" s="279"/>
      <c r="X142" s="279"/>
      <c r="Y142" s="279"/>
      <c r="Z142" s="279"/>
      <c r="AA142" s="279"/>
      <c r="AB142" s="279"/>
      <c r="AC142" s="279"/>
      <c r="AD142" s="279"/>
      <c r="AE142" s="279"/>
      <c r="AF142" s="279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80"/>
      <c r="AR142" s="280"/>
      <c r="AS142" s="280"/>
      <c r="AT142" s="280"/>
    </row>
    <row r="143" ht="14.2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78"/>
      <c r="U143" s="278"/>
      <c r="V143" s="279"/>
      <c r="W143" s="279"/>
      <c r="X143" s="279"/>
      <c r="Y143" s="279"/>
      <c r="Z143" s="279"/>
      <c r="AA143" s="279"/>
      <c r="AB143" s="279"/>
      <c r="AC143" s="279"/>
      <c r="AD143" s="279"/>
      <c r="AE143" s="279"/>
      <c r="AF143" s="279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80"/>
      <c r="AR143" s="280"/>
      <c r="AS143" s="280"/>
      <c r="AT143" s="280"/>
    </row>
    <row r="144" ht="14.2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78"/>
      <c r="U144" s="278"/>
      <c r="V144" s="279"/>
      <c r="W144" s="279"/>
      <c r="X144" s="279"/>
      <c r="Y144" s="279"/>
      <c r="Z144" s="279"/>
      <c r="AA144" s="279"/>
      <c r="AB144" s="279"/>
      <c r="AC144" s="279"/>
      <c r="AD144" s="279"/>
      <c r="AE144" s="279"/>
      <c r="AF144" s="279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80"/>
      <c r="AR144" s="280"/>
      <c r="AS144" s="280"/>
      <c r="AT144" s="280"/>
    </row>
    <row r="145" ht="14.2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78"/>
      <c r="U145" s="278"/>
      <c r="V145" s="279"/>
      <c r="W145" s="279"/>
      <c r="X145" s="279"/>
      <c r="Y145" s="279"/>
      <c r="Z145" s="279"/>
      <c r="AA145" s="279"/>
      <c r="AB145" s="279"/>
      <c r="AC145" s="279"/>
      <c r="AD145" s="279"/>
      <c r="AE145" s="279"/>
      <c r="AF145" s="279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80"/>
      <c r="AR145" s="280"/>
      <c r="AS145" s="280"/>
      <c r="AT145" s="280"/>
    </row>
    <row r="146" ht="14.2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78"/>
      <c r="U146" s="278"/>
      <c r="V146" s="279"/>
      <c r="W146" s="279"/>
      <c r="X146" s="279"/>
      <c r="Y146" s="279"/>
      <c r="Z146" s="279"/>
      <c r="AA146" s="279"/>
      <c r="AB146" s="279"/>
      <c r="AC146" s="279"/>
      <c r="AD146" s="279"/>
      <c r="AE146" s="279"/>
      <c r="AF146" s="279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80"/>
      <c r="AR146" s="280"/>
      <c r="AS146" s="280"/>
      <c r="AT146" s="280"/>
    </row>
    <row r="147" ht="14.2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78"/>
      <c r="U147" s="278"/>
      <c r="V147" s="279"/>
      <c r="W147" s="279"/>
      <c r="X147" s="279"/>
      <c r="Y147" s="279"/>
      <c r="Z147" s="279"/>
      <c r="AA147" s="279"/>
      <c r="AB147" s="279"/>
      <c r="AC147" s="279"/>
      <c r="AD147" s="279"/>
      <c r="AE147" s="279"/>
      <c r="AF147" s="279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80"/>
      <c r="AR147" s="280"/>
      <c r="AS147" s="280"/>
      <c r="AT147" s="280"/>
    </row>
    <row r="148" ht="14.2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78"/>
      <c r="U148" s="278"/>
      <c r="V148" s="279"/>
      <c r="W148" s="279"/>
      <c r="X148" s="279"/>
      <c r="Y148" s="279"/>
      <c r="Z148" s="279"/>
      <c r="AA148" s="279"/>
      <c r="AB148" s="279"/>
      <c r="AC148" s="279"/>
      <c r="AD148" s="279"/>
      <c r="AE148" s="279"/>
      <c r="AF148" s="279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80"/>
      <c r="AR148" s="280"/>
      <c r="AS148" s="280"/>
      <c r="AT148" s="280"/>
    </row>
    <row r="149" ht="14.2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78"/>
      <c r="U149" s="278"/>
      <c r="V149" s="279"/>
      <c r="W149" s="279"/>
      <c r="X149" s="279"/>
      <c r="Y149" s="279"/>
      <c r="Z149" s="279"/>
      <c r="AA149" s="279"/>
      <c r="AB149" s="279"/>
      <c r="AC149" s="279"/>
      <c r="AD149" s="279"/>
      <c r="AE149" s="279"/>
      <c r="AF149" s="279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80"/>
      <c r="AR149" s="280"/>
      <c r="AS149" s="280"/>
      <c r="AT149" s="280"/>
    </row>
    <row r="150" ht="14.2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78"/>
      <c r="U150" s="278"/>
      <c r="V150" s="279"/>
      <c r="W150" s="279"/>
      <c r="X150" s="279"/>
      <c r="Y150" s="279"/>
      <c r="Z150" s="279"/>
      <c r="AA150" s="279"/>
      <c r="AB150" s="279"/>
      <c r="AC150" s="279"/>
      <c r="AD150" s="279"/>
      <c r="AE150" s="279"/>
      <c r="AF150" s="279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80"/>
      <c r="AR150" s="280"/>
      <c r="AS150" s="280"/>
      <c r="AT150" s="280"/>
    </row>
    <row r="151" ht="14.2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78"/>
      <c r="U151" s="278"/>
      <c r="V151" s="279"/>
      <c r="W151" s="279"/>
      <c r="X151" s="279"/>
      <c r="Y151" s="279"/>
      <c r="Z151" s="279"/>
      <c r="AA151" s="279"/>
      <c r="AB151" s="279"/>
      <c r="AC151" s="279"/>
      <c r="AD151" s="279"/>
      <c r="AE151" s="279"/>
      <c r="AF151" s="279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80"/>
      <c r="AR151" s="280"/>
      <c r="AS151" s="280"/>
      <c r="AT151" s="280"/>
    </row>
    <row r="152" ht="14.2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78"/>
      <c r="U152" s="278"/>
      <c r="V152" s="279"/>
      <c r="W152" s="279"/>
      <c r="X152" s="279"/>
      <c r="Y152" s="279"/>
      <c r="Z152" s="279"/>
      <c r="AA152" s="279"/>
      <c r="AB152" s="279"/>
      <c r="AC152" s="279"/>
      <c r="AD152" s="279"/>
      <c r="AE152" s="279"/>
      <c r="AF152" s="279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80"/>
      <c r="AR152" s="280"/>
      <c r="AS152" s="280"/>
      <c r="AT152" s="280"/>
    </row>
    <row r="153" ht="14.2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78"/>
      <c r="U153" s="278"/>
      <c r="V153" s="279"/>
      <c r="W153" s="279"/>
      <c r="X153" s="279"/>
      <c r="Y153" s="279"/>
      <c r="Z153" s="279"/>
      <c r="AA153" s="279"/>
      <c r="AB153" s="279"/>
      <c r="AC153" s="279"/>
      <c r="AD153" s="279"/>
      <c r="AE153" s="279"/>
      <c r="AF153" s="279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80"/>
      <c r="AR153" s="280"/>
      <c r="AS153" s="280"/>
      <c r="AT153" s="280"/>
    </row>
    <row r="154" ht="14.2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78"/>
      <c r="U154" s="278"/>
      <c r="V154" s="279"/>
      <c r="W154" s="279"/>
      <c r="X154" s="279"/>
      <c r="Y154" s="279"/>
      <c r="Z154" s="279"/>
      <c r="AA154" s="279"/>
      <c r="AB154" s="279"/>
      <c r="AC154" s="279"/>
      <c r="AD154" s="279"/>
      <c r="AE154" s="279"/>
      <c r="AF154" s="279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80"/>
      <c r="AR154" s="280"/>
      <c r="AS154" s="280"/>
      <c r="AT154" s="280"/>
    </row>
    <row r="155" ht="14.2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78"/>
      <c r="U155" s="278"/>
      <c r="V155" s="279"/>
      <c r="W155" s="279"/>
      <c r="X155" s="279"/>
      <c r="Y155" s="279"/>
      <c r="Z155" s="279"/>
      <c r="AA155" s="279"/>
      <c r="AB155" s="279"/>
      <c r="AC155" s="279"/>
      <c r="AD155" s="279"/>
      <c r="AE155" s="279"/>
      <c r="AF155" s="279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80"/>
      <c r="AR155" s="280"/>
      <c r="AS155" s="280"/>
      <c r="AT155" s="280"/>
    </row>
    <row r="156" ht="14.2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78"/>
      <c r="U156" s="278"/>
      <c r="V156" s="279"/>
      <c r="W156" s="279"/>
      <c r="X156" s="279"/>
      <c r="Y156" s="279"/>
      <c r="Z156" s="279"/>
      <c r="AA156" s="279"/>
      <c r="AB156" s="279"/>
      <c r="AC156" s="279"/>
      <c r="AD156" s="279"/>
      <c r="AE156" s="279"/>
      <c r="AF156" s="279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80"/>
      <c r="AR156" s="280"/>
      <c r="AS156" s="280"/>
      <c r="AT156" s="280"/>
    </row>
    <row r="157" ht="14.2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78"/>
      <c r="U157" s="278"/>
      <c r="V157" s="279"/>
      <c r="W157" s="279"/>
      <c r="X157" s="279"/>
      <c r="Y157" s="279"/>
      <c r="Z157" s="279"/>
      <c r="AA157" s="279"/>
      <c r="AB157" s="279"/>
      <c r="AC157" s="279"/>
      <c r="AD157" s="279"/>
      <c r="AE157" s="279"/>
      <c r="AF157" s="279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80"/>
      <c r="AR157" s="280"/>
      <c r="AS157" s="280"/>
      <c r="AT157" s="280"/>
    </row>
    <row r="158" ht="14.2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78"/>
      <c r="U158" s="278"/>
      <c r="V158" s="279"/>
      <c r="W158" s="279"/>
      <c r="X158" s="279"/>
      <c r="Y158" s="279"/>
      <c r="Z158" s="279"/>
      <c r="AA158" s="279"/>
      <c r="AB158" s="279"/>
      <c r="AC158" s="279"/>
      <c r="AD158" s="279"/>
      <c r="AE158" s="279"/>
      <c r="AF158" s="279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80"/>
      <c r="AR158" s="280"/>
      <c r="AS158" s="280"/>
      <c r="AT158" s="280"/>
    </row>
    <row r="159" ht="14.2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78"/>
      <c r="U159" s="278"/>
      <c r="V159" s="279"/>
      <c r="W159" s="279"/>
      <c r="X159" s="279"/>
      <c r="Y159" s="279"/>
      <c r="Z159" s="279"/>
      <c r="AA159" s="279"/>
      <c r="AB159" s="279"/>
      <c r="AC159" s="279"/>
      <c r="AD159" s="279"/>
      <c r="AE159" s="279"/>
      <c r="AF159" s="279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80"/>
      <c r="AR159" s="280"/>
      <c r="AS159" s="280"/>
      <c r="AT159" s="280"/>
    </row>
    <row r="160" ht="14.2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78"/>
      <c r="U160" s="278"/>
      <c r="V160" s="279"/>
      <c r="W160" s="279"/>
      <c r="X160" s="279"/>
      <c r="Y160" s="279"/>
      <c r="Z160" s="279"/>
      <c r="AA160" s="279"/>
      <c r="AB160" s="279"/>
      <c r="AC160" s="279"/>
      <c r="AD160" s="279"/>
      <c r="AE160" s="279"/>
      <c r="AF160" s="279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80"/>
      <c r="AR160" s="280"/>
      <c r="AS160" s="280"/>
      <c r="AT160" s="280"/>
    </row>
    <row r="161" ht="14.2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78"/>
      <c r="U161" s="278"/>
      <c r="V161" s="279"/>
      <c r="W161" s="279"/>
      <c r="X161" s="279"/>
      <c r="Y161" s="279"/>
      <c r="Z161" s="279"/>
      <c r="AA161" s="279"/>
      <c r="AB161" s="279"/>
      <c r="AC161" s="279"/>
      <c r="AD161" s="279"/>
      <c r="AE161" s="279"/>
      <c r="AF161" s="279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80"/>
      <c r="AR161" s="280"/>
      <c r="AS161" s="280"/>
      <c r="AT161" s="280"/>
    </row>
    <row r="162" ht="14.2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78"/>
      <c r="U162" s="278"/>
      <c r="V162" s="279"/>
      <c r="W162" s="279"/>
      <c r="X162" s="279"/>
      <c r="Y162" s="279"/>
      <c r="Z162" s="279"/>
      <c r="AA162" s="279"/>
      <c r="AB162" s="279"/>
      <c r="AC162" s="279"/>
      <c r="AD162" s="279"/>
      <c r="AE162" s="279"/>
      <c r="AF162" s="279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80"/>
      <c r="AR162" s="280"/>
      <c r="AS162" s="280"/>
      <c r="AT162" s="280"/>
    </row>
    <row r="163" ht="14.2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78"/>
      <c r="U163" s="278"/>
      <c r="V163" s="279"/>
      <c r="W163" s="279"/>
      <c r="X163" s="279"/>
      <c r="Y163" s="279"/>
      <c r="Z163" s="279"/>
      <c r="AA163" s="279"/>
      <c r="AB163" s="279"/>
      <c r="AC163" s="279"/>
      <c r="AD163" s="279"/>
      <c r="AE163" s="279"/>
      <c r="AF163" s="279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80"/>
      <c r="AR163" s="280"/>
      <c r="AS163" s="280"/>
      <c r="AT163" s="280"/>
    </row>
    <row r="164" ht="14.2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78"/>
      <c r="U164" s="278"/>
      <c r="V164" s="279"/>
      <c r="W164" s="279"/>
      <c r="X164" s="279"/>
      <c r="Y164" s="279"/>
      <c r="Z164" s="279"/>
      <c r="AA164" s="279"/>
      <c r="AB164" s="279"/>
      <c r="AC164" s="279"/>
      <c r="AD164" s="279"/>
      <c r="AE164" s="279"/>
      <c r="AF164" s="279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80"/>
      <c r="AR164" s="280"/>
      <c r="AS164" s="280"/>
      <c r="AT164" s="280"/>
    </row>
    <row r="165" ht="14.2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78"/>
      <c r="U165" s="278"/>
      <c r="V165" s="279"/>
      <c r="W165" s="279"/>
      <c r="X165" s="279"/>
      <c r="Y165" s="279"/>
      <c r="Z165" s="279"/>
      <c r="AA165" s="279"/>
      <c r="AB165" s="279"/>
      <c r="AC165" s="279"/>
      <c r="AD165" s="279"/>
      <c r="AE165" s="279"/>
      <c r="AF165" s="279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80"/>
      <c r="AR165" s="280"/>
      <c r="AS165" s="280"/>
      <c r="AT165" s="280"/>
    </row>
    <row r="166" ht="14.2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78"/>
      <c r="U166" s="278"/>
      <c r="V166" s="279"/>
      <c r="W166" s="279"/>
      <c r="X166" s="279"/>
      <c r="Y166" s="279"/>
      <c r="Z166" s="279"/>
      <c r="AA166" s="279"/>
      <c r="AB166" s="279"/>
      <c r="AC166" s="279"/>
      <c r="AD166" s="279"/>
      <c r="AE166" s="279"/>
      <c r="AF166" s="279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80"/>
      <c r="AR166" s="280"/>
      <c r="AS166" s="280"/>
      <c r="AT166" s="280"/>
    </row>
    <row r="167" ht="14.2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78"/>
      <c r="U167" s="278"/>
      <c r="V167" s="279"/>
      <c r="W167" s="279"/>
      <c r="X167" s="279"/>
      <c r="Y167" s="279"/>
      <c r="Z167" s="279"/>
      <c r="AA167" s="279"/>
      <c r="AB167" s="279"/>
      <c r="AC167" s="279"/>
      <c r="AD167" s="279"/>
      <c r="AE167" s="279"/>
      <c r="AF167" s="279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80"/>
      <c r="AR167" s="280"/>
      <c r="AS167" s="280"/>
      <c r="AT167" s="280"/>
    </row>
    <row r="168" ht="14.2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78"/>
      <c r="U168" s="278"/>
      <c r="V168" s="279"/>
      <c r="W168" s="279"/>
      <c r="X168" s="279"/>
      <c r="Y168" s="279"/>
      <c r="Z168" s="279"/>
      <c r="AA168" s="279"/>
      <c r="AB168" s="279"/>
      <c r="AC168" s="279"/>
      <c r="AD168" s="279"/>
      <c r="AE168" s="279"/>
      <c r="AF168" s="279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80"/>
      <c r="AR168" s="280"/>
      <c r="AS168" s="280"/>
      <c r="AT168" s="280"/>
    </row>
    <row r="169" ht="14.2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78"/>
      <c r="U169" s="278"/>
      <c r="V169" s="279"/>
      <c r="W169" s="279"/>
      <c r="X169" s="279"/>
      <c r="Y169" s="279"/>
      <c r="Z169" s="279"/>
      <c r="AA169" s="279"/>
      <c r="AB169" s="279"/>
      <c r="AC169" s="279"/>
      <c r="AD169" s="279"/>
      <c r="AE169" s="279"/>
      <c r="AF169" s="279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80"/>
      <c r="AR169" s="280"/>
      <c r="AS169" s="280"/>
      <c r="AT169" s="280"/>
    </row>
    <row r="170" ht="14.2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78"/>
      <c r="U170" s="278"/>
      <c r="V170" s="279"/>
      <c r="W170" s="279"/>
      <c r="X170" s="279"/>
      <c r="Y170" s="279"/>
      <c r="Z170" s="279"/>
      <c r="AA170" s="279"/>
      <c r="AB170" s="279"/>
      <c r="AC170" s="279"/>
      <c r="AD170" s="279"/>
      <c r="AE170" s="279"/>
      <c r="AF170" s="279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80"/>
      <c r="AR170" s="280"/>
      <c r="AS170" s="280"/>
      <c r="AT170" s="280"/>
    </row>
    <row r="171" ht="14.2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78"/>
      <c r="U171" s="278"/>
      <c r="V171" s="279"/>
      <c r="W171" s="279"/>
      <c r="X171" s="279"/>
      <c r="Y171" s="279"/>
      <c r="Z171" s="279"/>
      <c r="AA171" s="279"/>
      <c r="AB171" s="279"/>
      <c r="AC171" s="279"/>
      <c r="AD171" s="279"/>
      <c r="AE171" s="279"/>
      <c r="AF171" s="279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80"/>
      <c r="AR171" s="280"/>
      <c r="AS171" s="280"/>
      <c r="AT171" s="280"/>
    </row>
    <row r="172" ht="14.2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78"/>
      <c r="U172" s="278"/>
      <c r="V172" s="279"/>
      <c r="W172" s="279"/>
      <c r="X172" s="279"/>
      <c r="Y172" s="279"/>
      <c r="Z172" s="279"/>
      <c r="AA172" s="279"/>
      <c r="AB172" s="279"/>
      <c r="AC172" s="279"/>
      <c r="AD172" s="279"/>
      <c r="AE172" s="279"/>
      <c r="AF172" s="279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80"/>
      <c r="AR172" s="280"/>
      <c r="AS172" s="280"/>
      <c r="AT172" s="280"/>
    </row>
    <row r="173" ht="14.2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78"/>
      <c r="U173" s="278"/>
      <c r="V173" s="279"/>
      <c r="W173" s="279"/>
      <c r="X173" s="279"/>
      <c r="Y173" s="279"/>
      <c r="Z173" s="279"/>
      <c r="AA173" s="279"/>
      <c r="AB173" s="279"/>
      <c r="AC173" s="279"/>
      <c r="AD173" s="279"/>
      <c r="AE173" s="279"/>
      <c r="AF173" s="279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80"/>
      <c r="AR173" s="280"/>
      <c r="AS173" s="280"/>
      <c r="AT173" s="280"/>
    </row>
    <row r="174" ht="14.2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78"/>
      <c r="U174" s="278"/>
      <c r="V174" s="279"/>
      <c r="W174" s="279"/>
      <c r="X174" s="279"/>
      <c r="Y174" s="279"/>
      <c r="Z174" s="279"/>
      <c r="AA174" s="279"/>
      <c r="AB174" s="279"/>
      <c r="AC174" s="279"/>
      <c r="AD174" s="279"/>
      <c r="AE174" s="279"/>
      <c r="AF174" s="279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80"/>
      <c r="AR174" s="280"/>
      <c r="AS174" s="280"/>
      <c r="AT174" s="280"/>
    </row>
    <row r="175" ht="14.2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78"/>
      <c r="U175" s="278"/>
      <c r="V175" s="279"/>
      <c r="W175" s="279"/>
      <c r="X175" s="279"/>
      <c r="Y175" s="279"/>
      <c r="Z175" s="279"/>
      <c r="AA175" s="279"/>
      <c r="AB175" s="279"/>
      <c r="AC175" s="279"/>
      <c r="AD175" s="279"/>
      <c r="AE175" s="279"/>
      <c r="AF175" s="279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80"/>
      <c r="AR175" s="280"/>
      <c r="AS175" s="280"/>
      <c r="AT175" s="280"/>
    </row>
    <row r="176" ht="14.2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78"/>
      <c r="U176" s="278"/>
      <c r="V176" s="279"/>
      <c r="W176" s="279"/>
      <c r="X176" s="279"/>
      <c r="Y176" s="279"/>
      <c r="Z176" s="279"/>
      <c r="AA176" s="279"/>
      <c r="AB176" s="279"/>
      <c r="AC176" s="279"/>
      <c r="AD176" s="279"/>
      <c r="AE176" s="279"/>
      <c r="AF176" s="279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80"/>
      <c r="AR176" s="280"/>
      <c r="AS176" s="280"/>
      <c r="AT176" s="280"/>
    </row>
    <row r="177" ht="14.2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78"/>
      <c r="U177" s="278"/>
      <c r="V177" s="279"/>
      <c r="W177" s="279"/>
      <c r="X177" s="279"/>
      <c r="Y177" s="279"/>
      <c r="Z177" s="279"/>
      <c r="AA177" s="279"/>
      <c r="AB177" s="279"/>
      <c r="AC177" s="279"/>
      <c r="AD177" s="279"/>
      <c r="AE177" s="279"/>
      <c r="AF177" s="279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80"/>
      <c r="AR177" s="280"/>
      <c r="AS177" s="280"/>
      <c r="AT177" s="280"/>
    </row>
    <row r="178" ht="14.2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78"/>
      <c r="U178" s="278"/>
      <c r="V178" s="279"/>
      <c r="W178" s="279"/>
      <c r="X178" s="279"/>
      <c r="Y178" s="279"/>
      <c r="Z178" s="279"/>
      <c r="AA178" s="279"/>
      <c r="AB178" s="279"/>
      <c r="AC178" s="279"/>
      <c r="AD178" s="279"/>
      <c r="AE178" s="279"/>
      <c r="AF178" s="279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80"/>
      <c r="AR178" s="280"/>
      <c r="AS178" s="280"/>
      <c r="AT178" s="280"/>
    </row>
    <row r="179" ht="14.2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78"/>
      <c r="U179" s="278"/>
      <c r="V179" s="279"/>
      <c r="W179" s="279"/>
      <c r="X179" s="279"/>
      <c r="Y179" s="279"/>
      <c r="Z179" s="279"/>
      <c r="AA179" s="279"/>
      <c r="AB179" s="279"/>
      <c r="AC179" s="279"/>
      <c r="AD179" s="279"/>
      <c r="AE179" s="279"/>
      <c r="AF179" s="279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80"/>
      <c r="AR179" s="280"/>
      <c r="AS179" s="280"/>
      <c r="AT179" s="280"/>
    </row>
    <row r="180" ht="14.2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78"/>
      <c r="U180" s="278"/>
      <c r="V180" s="279"/>
      <c r="W180" s="279"/>
      <c r="X180" s="279"/>
      <c r="Y180" s="279"/>
      <c r="Z180" s="279"/>
      <c r="AA180" s="279"/>
      <c r="AB180" s="279"/>
      <c r="AC180" s="279"/>
      <c r="AD180" s="279"/>
      <c r="AE180" s="279"/>
      <c r="AF180" s="279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80"/>
      <c r="AR180" s="280"/>
      <c r="AS180" s="280"/>
      <c r="AT180" s="280"/>
    </row>
    <row r="181" ht="14.2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78"/>
      <c r="U181" s="278"/>
      <c r="V181" s="279"/>
      <c r="W181" s="279"/>
      <c r="X181" s="279"/>
      <c r="Y181" s="279"/>
      <c r="Z181" s="279"/>
      <c r="AA181" s="279"/>
      <c r="AB181" s="279"/>
      <c r="AC181" s="279"/>
      <c r="AD181" s="279"/>
      <c r="AE181" s="279"/>
      <c r="AF181" s="279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80"/>
      <c r="AR181" s="280"/>
      <c r="AS181" s="280"/>
      <c r="AT181" s="280"/>
    </row>
    <row r="182" ht="14.2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78"/>
      <c r="U182" s="278"/>
      <c r="V182" s="279"/>
      <c r="W182" s="279"/>
      <c r="X182" s="279"/>
      <c r="Y182" s="279"/>
      <c r="Z182" s="279"/>
      <c r="AA182" s="279"/>
      <c r="AB182" s="279"/>
      <c r="AC182" s="279"/>
      <c r="AD182" s="279"/>
      <c r="AE182" s="279"/>
      <c r="AF182" s="279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80"/>
      <c r="AR182" s="280"/>
      <c r="AS182" s="280"/>
      <c r="AT182" s="280"/>
    </row>
    <row r="183" ht="14.2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78"/>
      <c r="U183" s="278"/>
      <c r="V183" s="279"/>
      <c r="W183" s="279"/>
      <c r="X183" s="279"/>
      <c r="Y183" s="279"/>
      <c r="Z183" s="279"/>
      <c r="AA183" s="279"/>
      <c r="AB183" s="279"/>
      <c r="AC183" s="279"/>
      <c r="AD183" s="279"/>
      <c r="AE183" s="279"/>
      <c r="AF183" s="279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80"/>
      <c r="AR183" s="280"/>
      <c r="AS183" s="280"/>
      <c r="AT183" s="280"/>
    </row>
    <row r="184" ht="14.2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78"/>
      <c r="U184" s="278"/>
      <c r="V184" s="279"/>
      <c r="W184" s="279"/>
      <c r="X184" s="279"/>
      <c r="Y184" s="279"/>
      <c r="Z184" s="279"/>
      <c r="AA184" s="279"/>
      <c r="AB184" s="279"/>
      <c r="AC184" s="279"/>
      <c r="AD184" s="279"/>
      <c r="AE184" s="279"/>
      <c r="AF184" s="279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80"/>
      <c r="AR184" s="280"/>
      <c r="AS184" s="280"/>
      <c r="AT184" s="280"/>
    </row>
    <row r="185" ht="14.2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78"/>
      <c r="U185" s="278"/>
      <c r="V185" s="279"/>
      <c r="W185" s="279"/>
      <c r="X185" s="279"/>
      <c r="Y185" s="279"/>
      <c r="Z185" s="279"/>
      <c r="AA185" s="279"/>
      <c r="AB185" s="279"/>
      <c r="AC185" s="279"/>
      <c r="AD185" s="279"/>
      <c r="AE185" s="279"/>
      <c r="AF185" s="279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80"/>
      <c r="AR185" s="280"/>
      <c r="AS185" s="280"/>
      <c r="AT185" s="280"/>
    </row>
    <row r="186" ht="14.2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78"/>
      <c r="U186" s="278"/>
      <c r="V186" s="279"/>
      <c r="W186" s="279"/>
      <c r="X186" s="279"/>
      <c r="Y186" s="279"/>
      <c r="Z186" s="279"/>
      <c r="AA186" s="279"/>
      <c r="AB186" s="279"/>
      <c r="AC186" s="279"/>
      <c r="AD186" s="279"/>
      <c r="AE186" s="279"/>
      <c r="AF186" s="279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80"/>
      <c r="AR186" s="280"/>
      <c r="AS186" s="280"/>
      <c r="AT186" s="280"/>
    </row>
    <row r="187" ht="14.2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78"/>
      <c r="U187" s="278"/>
      <c r="V187" s="279"/>
      <c r="W187" s="279"/>
      <c r="X187" s="279"/>
      <c r="Y187" s="279"/>
      <c r="Z187" s="279"/>
      <c r="AA187" s="279"/>
      <c r="AB187" s="279"/>
      <c r="AC187" s="279"/>
      <c r="AD187" s="279"/>
      <c r="AE187" s="279"/>
      <c r="AF187" s="279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80"/>
      <c r="AR187" s="280"/>
      <c r="AS187" s="280"/>
      <c r="AT187" s="280"/>
    </row>
    <row r="188" ht="14.2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78"/>
      <c r="U188" s="278"/>
      <c r="V188" s="279"/>
      <c r="W188" s="279"/>
      <c r="X188" s="279"/>
      <c r="Y188" s="279"/>
      <c r="Z188" s="279"/>
      <c r="AA188" s="279"/>
      <c r="AB188" s="279"/>
      <c r="AC188" s="279"/>
      <c r="AD188" s="279"/>
      <c r="AE188" s="279"/>
      <c r="AF188" s="279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80"/>
      <c r="AR188" s="280"/>
      <c r="AS188" s="280"/>
      <c r="AT188" s="280"/>
    </row>
    <row r="189" ht="14.2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78"/>
      <c r="U189" s="278"/>
      <c r="V189" s="279"/>
      <c r="W189" s="279"/>
      <c r="X189" s="279"/>
      <c r="Y189" s="279"/>
      <c r="Z189" s="279"/>
      <c r="AA189" s="279"/>
      <c r="AB189" s="279"/>
      <c r="AC189" s="279"/>
      <c r="AD189" s="279"/>
      <c r="AE189" s="279"/>
      <c r="AF189" s="279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80"/>
      <c r="AR189" s="280"/>
      <c r="AS189" s="280"/>
      <c r="AT189" s="280"/>
    </row>
    <row r="190" ht="14.2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78"/>
      <c r="U190" s="278"/>
      <c r="V190" s="279"/>
      <c r="W190" s="279"/>
      <c r="X190" s="279"/>
      <c r="Y190" s="279"/>
      <c r="Z190" s="279"/>
      <c r="AA190" s="279"/>
      <c r="AB190" s="279"/>
      <c r="AC190" s="279"/>
      <c r="AD190" s="279"/>
      <c r="AE190" s="279"/>
      <c r="AF190" s="279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80"/>
      <c r="AR190" s="280"/>
      <c r="AS190" s="280"/>
      <c r="AT190" s="280"/>
    </row>
    <row r="191" ht="14.2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78"/>
      <c r="U191" s="278"/>
      <c r="V191" s="279"/>
      <c r="W191" s="279"/>
      <c r="X191" s="279"/>
      <c r="Y191" s="279"/>
      <c r="Z191" s="279"/>
      <c r="AA191" s="279"/>
      <c r="AB191" s="279"/>
      <c r="AC191" s="279"/>
      <c r="AD191" s="279"/>
      <c r="AE191" s="279"/>
      <c r="AF191" s="279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80"/>
      <c r="AR191" s="280"/>
      <c r="AS191" s="280"/>
      <c r="AT191" s="280"/>
    </row>
    <row r="192" ht="14.2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78"/>
      <c r="U192" s="278"/>
      <c r="V192" s="279"/>
      <c r="W192" s="279"/>
      <c r="X192" s="279"/>
      <c r="Y192" s="279"/>
      <c r="Z192" s="279"/>
      <c r="AA192" s="279"/>
      <c r="AB192" s="279"/>
      <c r="AC192" s="279"/>
      <c r="AD192" s="279"/>
      <c r="AE192" s="279"/>
      <c r="AF192" s="279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80"/>
      <c r="AR192" s="280"/>
      <c r="AS192" s="280"/>
      <c r="AT192" s="280"/>
    </row>
    <row r="193" ht="14.2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78"/>
      <c r="U193" s="278"/>
      <c r="V193" s="279"/>
      <c r="W193" s="279"/>
      <c r="X193" s="279"/>
      <c r="Y193" s="279"/>
      <c r="Z193" s="279"/>
      <c r="AA193" s="279"/>
      <c r="AB193" s="279"/>
      <c r="AC193" s="279"/>
      <c r="AD193" s="279"/>
      <c r="AE193" s="279"/>
      <c r="AF193" s="279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80"/>
      <c r="AR193" s="280"/>
      <c r="AS193" s="280"/>
      <c r="AT193" s="280"/>
    </row>
    <row r="194" ht="14.2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78"/>
      <c r="U194" s="278"/>
      <c r="V194" s="279"/>
      <c r="W194" s="279"/>
      <c r="X194" s="279"/>
      <c r="Y194" s="279"/>
      <c r="Z194" s="279"/>
      <c r="AA194" s="279"/>
      <c r="AB194" s="279"/>
      <c r="AC194" s="279"/>
      <c r="AD194" s="279"/>
      <c r="AE194" s="279"/>
      <c r="AF194" s="279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80"/>
      <c r="AR194" s="280"/>
      <c r="AS194" s="280"/>
      <c r="AT194" s="280"/>
    </row>
    <row r="195" ht="14.2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78"/>
      <c r="U195" s="278"/>
      <c r="V195" s="279"/>
      <c r="W195" s="279"/>
      <c r="X195" s="279"/>
      <c r="Y195" s="279"/>
      <c r="Z195" s="279"/>
      <c r="AA195" s="279"/>
      <c r="AB195" s="279"/>
      <c r="AC195" s="279"/>
      <c r="AD195" s="279"/>
      <c r="AE195" s="279"/>
      <c r="AF195" s="279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80"/>
      <c r="AR195" s="280"/>
      <c r="AS195" s="280"/>
      <c r="AT195" s="280"/>
    </row>
    <row r="196" ht="14.2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78"/>
      <c r="U196" s="278"/>
      <c r="V196" s="279"/>
      <c r="W196" s="279"/>
      <c r="X196" s="279"/>
      <c r="Y196" s="279"/>
      <c r="Z196" s="279"/>
      <c r="AA196" s="279"/>
      <c r="AB196" s="279"/>
      <c r="AC196" s="279"/>
      <c r="AD196" s="279"/>
      <c r="AE196" s="279"/>
      <c r="AF196" s="279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80"/>
      <c r="AR196" s="280"/>
      <c r="AS196" s="280"/>
      <c r="AT196" s="280"/>
    </row>
    <row r="197" ht="14.2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78"/>
      <c r="U197" s="278"/>
      <c r="V197" s="279"/>
      <c r="W197" s="279"/>
      <c r="X197" s="279"/>
      <c r="Y197" s="279"/>
      <c r="Z197" s="279"/>
      <c r="AA197" s="279"/>
      <c r="AB197" s="279"/>
      <c r="AC197" s="279"/>
      <c r="AD197" s="279"/>
      <c r="AE197" s="279"/>
      <c r="AF197" s="279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80"/>
      <c r="AR197" s="280"/>
      <c r="AS197" s="280"/>
      <c r="AT197" s="280"/>
    </row>
    <row r="198" ht="14.2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78"/>
      <c r="U198" s="278"/>
      <c r="V198" s="279"/>
      <c r="W198" s="279"/>
      <c r="X198" s="279"/>
      <c r="Y198" s="279"/>
      <c r="Z198" s="279"/>
      <c r="AA198" s="279"/>
      <c r="AB198" s="279"/>
      <c r="AC198" s="279"/>
      <c r="AD198" s="279"/>
      <c r="AE198" s="279"/>
      <c r="AF198" s="279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80"/>
      <c r="AR198" s="280"/>
      <c r="AS198" s="280"/>
      <c r="AT198" s="280"/>
    </row>
    <row r="199" ht="14.2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78"/>
      <c r="U199" s="278"/>
      <c r="V199" s="279"/>
      <c r="W199" s="279"/>
      <c r="X199" s="279"/>
      <c r="Y199" s="279"/>
      <c r="Z199" s="279"/>
      <c r="AA199" s="279"/>
      <c r="AB199" s="279"/>
      <c r="AC199" s="279"/>
      <c r="AD199" s="279"/>
      <c r="AE199" s="279"/>
      <c r="AF199" s="279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80"/>
      <c r="AR199" s="280"/>
      <c r="AS199" s="280"/>
      <c r="AT199" s="280"/>
    </row>
    <row r="200" ht="14.2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78"/>
      <c r="U200" s="278"/>
      <c r="V200" s="279"/>
      <c r="W200" s="279"/>
      <c r="X200" s="279"/>
      <c r="Y200" s="279"/>
      <c r="Z200" s="279"/>
      <c r="AA200" s="279"/>
      <c r="AB200" s="279"/>
      <c r="AC200" s="279"/>
      <c r="AD200" s="279"/>
      <c r="AE200" s="279"/>
      <c r="AF200" s="279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80"/>
      <c r="AR200" s="280"/>
      <c r="AS200" s="280"/>
      <c r="AT200" s="280"/>
    </row>
    <row r="201" ht="14.2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78"/>
      <c r="U201" s="278"/>
      <c r="V201" s="279"/>
      <c r="W201" s="279"/>
      <c r="X201" s="279"/>
      <c r="Y201" s="279"/>
      <c r="Z201" s="279"/>
      <c r="AA201" s="279"/>
      <c r="AB201" s="279"/>
      <c r="AC201" s="279"/>
      <c r="AD201" s="279"/>
      <c r="AE201" s="279"/>
      <c r="AF201" s="279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80"/>
      <c r="AR201" s="280"/>
      <c r="AS201" s="280"/>
      <c r="AT201" s="280"/>
    </row>
    <row r="202" ht="14.2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78"/>
      <c r="U202" s="278"/>
      <c r="V202" s="279"/>
      <c r="W202" s="279"/>
      <c r="X202" s="279"/>
      <c r="Y202" s="279"/>
      <c r="Z202" s="279"/>
      <c r="AA202" s="279"/>
      <c r="AB202" s="279"/>
      <c r="AC202" s="279"/>
      <c r="AD202" s="279"/>
      <c r="AE202" s="279"/>
      <c r="AF202" s="279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80"/>
      <c r="AR202" s="280"/>
      <c r="AS202" s="280"/>
      <c r="AT202" s="280"/>
    </row>
    <row r="203" ht="14.2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78"/>
      <c r="U203" s="278"/>
      <c r="V203" s="279"/>
      <c r="W203" s="279"/>
      <c r="X203" s="279"/>
      <c r="Y203" s="279"/>
      <c r="Z203" s="279"/>
      <c r="AA203" s="279"/>
      <c r="AB203" s="279"/>
      <c r="AC203" s="279"/>
      <c r="AD203" s="279"/>
      <c r="AE203" s="279"/>
      <c r="AF203" s="279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80"/>
      <c r="AR203" s="280"/>
      <c r="AS203" s="280"/>
      <c r="AT203" s="280"/>
    </row>
    <row r="204" ht="14.2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78"/>
      <c r="U204" s="278"/>
      <c r="V204" s="279"/>
      <c r="W204" s="279"/>
      <c r="X204" s="279"/>
      <c r="Y204" s="279"/>
      <c r="Z204" s="279"/>
      <c r="AA204" s="279"/>
      <c r="AB204" s="279"/>
      <c r="AC204" s="279"/>
      <c r="AD204" s="279"/>
      <c r="AE204" s="279"/>
      <c r="AF204" s="279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80"/>
      <c r="AR204" s="280"/>
      <c r="AS204" s="280"/>
      <c r="AT204" s="280"/>
    </row>
    <row r="205" ht="14.2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78"/>
      <c r="U205" s="278"/>
      <c r="V205" s="279"/>
      <c r="W205" s="279"/>
      <c r="X205" s="279"/>
      <c r="Y205" s="279"/>
      <c r="Z205" s="279"/>
      <c r="AA205" s="279"/>
      <c r="AB205" s="279"/>
      <c r="AC205" s="279"/>
      <c r="AD205" s="279"/>
      <c r="AE205" s="279"/>
      <c r="AF205" s="279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80"/>
      <c r="AR205" s="280"/>
      <c r="AS205" s="280"/>
      <c r="AT205" s="280"/>
    </row>
    <row r="206" ht="14.2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78"/>
      <c r="U206" s="278"/>
      <c r="V206" s="279"/>
      <c r="W206" s="279"/>
      <c r="X206" s="279"/>
      <c r="Y206" s="279"/>
      <c r="Z206" s="279"/>
      <c r="AA206" s="279"/>
      <c r="AB206" s="279"/>
      <c r="AC206" s="279"/>
      <c r="AD206" s="279"/>
      <c r="AE206" s="279"/>
      <c r="AF206" s="279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80"/>
      <c r="AR206" s="280"/>
      <c r="AS206" s="280"/>
      <c r="AT206" s="280"/>
    </row>
    <row r="207" ht="14.2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78"/>
      <c r="U207" s="278"/>
      <c r="V207" s="279"/>
      <c r="W207" s="279"/>
      <c r="X207" s="279"/>
      <c r="Y207" s="279"/>
      <c r="Z207" s="279"/>
      <c r="AA207" s="279"/>
      <c r="AB207" s="279"/>
      <c r="AC207" s="279"/>
      <c r="AD207" s="279"/>
      <c r="AE207" s="279"/>
      <c r="AF207" s="279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80"/>
      <c r="AR207" s="280"/>
      <c r="AS207" s="280"/>
      <c r="AT207" s="280"/>
    </row>
    <row r="208" ht="14.2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78"/>
      <c r="U208" s="278"/>
      <c r="V208" s="279"/>
      <c r="W208" s="279"/>
      <c r="X208" s="279"/>
      <c r="Y208" s="279"/>
      <c r="Z208" s="279"/>
      <c r="AA208" s="279"/>
      <c r="AB208" s="279"/>
      <c r="AC208" s="279"/>
      <c r="AD208" s="279"/>
      <c r="AE208" s="279"/>
      <c r="AF208" s="279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80"/>
      <c r="AR208" s="280"/>
      <c r="AS208" s="280"/>
      <c r="AT208" s="280"/>
    </row>
    <row r="209" ht="14.2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78"/>
      <c r="U209" s="278"/>
      <c r="V209" s="279"/>
      <c r="W209" s="279"/>
      <c r="X209" s="279"/>
      <c r="Y209" s="279"/>
      <c r="Z209" s="279"/>
      <c r="AA209" s="279"/>
      <c r="AB209" s="279"/>
      <c r="AC209" s="279"/>
      <c r="AD209" s="279"/>
      <c r="AE209" s="279"/>
      <c r="AF209" s="279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80"/>
      <c r="AR209" s="280"/>
      <c r="AS209" s="280"/>
      <c r="AT209" s="280"/>
    </row>
    <row r="210" ht="14.2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78"/>
      <c r="U210" s="278"/>
      <c r="V210" s="279"/>
      <c r="W210" s="279"/>
      <c r="X210" s="279"/>
      <c r="Y210" s="279"/>
      <c r="Z210" s="279"/>
      <c r="AA210" s="279"/>
      <c r="AB210" s="279"/>
      <c r="AC210" s="279"/>
      <c r="AD210" s="279"/>
      <c r="AE210" s="279"/>
      <c r="AF210" s="279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80"/>
      <c r="AR210" s="280"/>
      <c r="AS210" s="280"/>
      <c r="AT210" s="280"/>
    </row>
    <row r="211" ht="14.2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78"/>
      <c r="U211" s="278"/>
      <c r="V211" s="279"/>
      <c r="W211" s="279"/>
      <c r="X211" s="279"/>
      <c r="Y211" s="279"/>
      <c r="Z211" s="279"/>
      <c r="AA211" s="279"/>
      <c r="AB211" s="279"/>
      <c r="AC211" s="279"/>
      <c r="AD211" s="279"/>
      <c r="AE211" s="279"/>
      <c r="AF211" s="279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80"/>
      <c r="AR211" s="280"/>
      <c r="AS211" s="280"/>
      <c r="AT211" s="280"/>
    </row>
    <row r="212" ht="14.2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78"/>
      <c r="U212" s="278"/>
      <c r="V212" s="279"/>
      <c r="W212" s="279"/>
      <c r="X212" s="279"/>
      <c r="Y212" s="279"/>
      <c r="Z212" s="279"/>
      <c r="AA212" s="279"/>
      <c r="AB212" s="279"/>
      <c r="AC212" s="279"/>
      <c r="AD212" s="279"/>
      <c r="AE212" s="279"/>
      <c r="AF212" s="279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80"/>
      <c r="AR212" s="280"/>
      <c r="AS212" s="280"/>
      <c r="AT212" s="280"/>
    </row>
    <row r="213" ht="14.2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78"/>
      <c r="U213" s="278"/>
      <c r="V213" s="279"/>
      <c r="W213" s="279"/>
      <c r="X213" s="279"/>
      <c r="Y213" s="279"/>
      <c r="Z213" s="279"/>
      <c r="AA213" s="279"/>
      <c r="AB213" s="279"/>
      <c r="AC213" s="279"/>
      <c r="AD213" s="279"/>
      <c r="AE213" s="279"/>
      <c r="AF213" s="279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80"/>
      <c r="AR213" s="280"/>
      <c r="AS213" s="280"/>
      <c r="AT213" s="280"/>
    </row>
    <row r="214" ht="14.2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78"/>
      <c r="U214" s="278"/>
      <c r="V214" s="279"/>
      <c r="W214" s="279"/>
      <c r="X214" s="279"/>
      <c r="Y214" s="279"/>
      <c r="Z214" s="279"/>
      <c r="AA214" s="279"/>
      <c r="AB214" s="279"/>
      <c r="AC214" s="279"/>
      <c r="AD214" s="279"/>
      <c r="AE214" s="279"/>
      <c r="AF214" s="279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80"/>
      <c r="AR214" s="280"/>
      <c r="AS214" s="280"/>
      <c r="AT214" s="280"/>
    </row>
    <row r="215" ht="14.2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78"/>
      <c r="U215" s="278"/>
      <c r="V215" s="279"/>
      <c r="W215" s="279"/>
      <c r="X215" s="279"/>
      <c r="Y215" s="279"/>
      <c r="Z215" s="279"/>
      <c r="AA215" s="279"/>
      <c r="AB215" s="279"/>
      <c r="AC215" s="279"/>
      <c r="AD215" s="279"/>
      <c r="AE215" s="279"/>
      <c r="AF215" s="279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80"/>
      <c r="AR215" s="280"/>
      <c r="AS215" s="280"/>
      <c r="AT215" s="280"/>
    </row>
    <row r="216" ht="14.2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78"/>
      <c r="U216" s="278"/>
      <c r="V216" s="279"/>
      <c r="W216" s="279"/>
      <c r="X216" s="279"/>
      <c r="Y216" s="279"/>
      <c r="Z216" s="279"/>
      <c r="AA216" s="279"/>
      <c r="AB216" s="279"/>
      <c r="AC216" s="279"/>
      <c r="AD216" s="279"/>
      <c r="AE216" s="279"/>
      <c r="AF216" s="279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80"/>
      <c r="AR216" s="280"/>
      <c r="AS216" s="280"/>
      <c r="AT216" s="280"/>
    </row>
    <row r="217" ht="14.2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78"/>
      <c r="U217" s="278"/>
      <c r="V217" s="279"/>
      <c r="W217" s="279"/>
      <c r="X217" s="279"/>
      <c r="Y217" s="279"/>
      <c r="Z217" s="279"/>
      <c r="AA217" s="279"/>
      <c r="AB217" s="279"/>
      <c r="AC217" s="279"/>
      <c r="AD217" s="279"/>
      <c r="AE217" s="279"/>
      <c r="AF217" s="279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80"/>
      <c r="AR217" s="280"/>
      <c r="AS217" s="280"/>
      <c r="AT217" s="280"/>
    </row>
    <row r="218" ht="14.2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78"/>
      <c r="U218" s="278"/>
      <c r="V218" s="279"/>
      <c r="W218" s="279"/>
      <c r="X218" s="279"/>
      <c r="Y218" s="279"/>
      <c r="Z218" s="279"/>
      <c r="AA218" s="279"/>
      <c r="AB218" s="279"/>
      <c r="AC218" s="279"/>
      <c r="AD218" s="279"/>
      <c r="AE218" s="279"/>
      <c r="AF218" s="279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80"/>
      <c r="AR218" s="280"/>
      <c r="AS218" s="280"/>
      <c r="AT218" s="280"/>
    </row>
    <row r="219" ht="14.2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78"/>
      <c r="U219" s="278"/>
      <c r="V219" s="279"/>
      <c r="W219" s="279"/>
      <c r="X219" s="279"/>
      <c r="Y219" s="279"/>
      <c r="Z219" s="279"/>
      <c r="AA219" s="279"/>
      <c r="AB219" s="279"/>
      <c r="AC219" s="279"/>
      <c r="AD219" s="279"/>
      <c r="AE219" s="279"/>
      <c r="AF219" s="279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80"/>
      <c r="AR219" s="280"/>
      <c r="AS219" s="280"/>
      <c r="AT219" s="280"/>
    </row>
    <row r="220" ht="14.2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78"/>
      <c r="U220" s="278"/>
      <c r="V220" s="279"/>
      <c r="W220" s="279"/>
      <c r="X220" s="279"/>
      <c r="Y220" s="279"/>
      <c r="Z220" s="279"/>
      <c r="AA220" s="279"/>
      <c r="AB220" s="279"/>
      <c r="AC220" s="279"/>
      <c r="AD220" s="279"/>
      <c r="AE220" s="279"/>
      <c r="AF220" s="279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80"/>
      <c r="AR220" s="280"/>
      <c r="AS220" s="280"/>
      <c r="AT220" s="280"/>
    </row>
    <row r="221" ht="14.2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78"/>
      <c r="U221" s="278"/>
      <c r="V221" s="279"/>
      <c r="W221" s="279"/>
      <c r="X221" s="279"/>
      <c r="Y221" s="279"/>
      <c r="Z221" s="279"/>
      <c r="AA221" s="279"/>
      <c r="AB221" s="279"/>
      <c r="AC221" s="279"/>
      <c r="AD221" s="279"/>
      <c r="AE221" s="279"/>
      <c r="AF221" s="279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80"/>
      <c r="AR221" s="280"/>
      <c r="AS221" s="280"/>
      <c r="AT221" s="280"/>
    </row>
    <row r="222" ht="14.2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78"/>
      <c r="U222" s="278"/>
      <c r="V222" s="279"/>
      <c r="W222" s="279"/>
      <c r="X222" s="279"/>
      <c r="Y222" s="279"/>
      <c r="Z222" s="279"/>
      <c r="AA222" s="279"/>
      <c r="AB222" s="279"/>
      <c r="AC222" s="279"/>
      <c r="AD222" s="279"/>
      <c r="AE222" s="279"/>
      <c r="AF222" s="279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80"/>
      <c r="AR222" s="280"/>
      <c r="AS222" s="280"/>
      <c r="AT222" s="280"/>
    </row>
    <row r="223" ht="14.2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78"/>
      <c r="U223" s="278"/>
      <c r="V223" s="279"/>
      <c r="W223" s="279"/>
      <c r="X223" s="279"/>
      <c r="Y223" s="279"/>
      <c r="Z223" s="279"/>
      <c r="AA223" s="279"/>
      <c r="AB223" s="279"/>
      <c r="AC223" s="279"/>
      <c r="AD223" s="279"/>
      <c r="AE223" s="279"/>
      <c r="AF223" s="279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80"/>
      <c r="AR223" s="280"/>
      <c r="AS223" s="280"/>
      <c r="AT223" s="280"/>
    </row>
    <row r="224" ht="14.2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78"/>
      <c r="U224" s="278"/>
      <c r="V224" s="279"/>
      <c r="W224" s="279"/>
      <c r="X224" s="279"/>
      <c r="Y224" s="279"/>
      <c r="Z224" s="279"/>
      <c r="AA224" s="279"/>
      <c r="AB224" s="279"/>
      <c r="AC224" s="279"/>
      <c r="AD224" s="279"/>
      <c r="AE224" s="279"/>
      <c r="AF224" s="279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80"/>
      <c r="AR224" s="280"/>
      <c r="AS224" s="280"/>
      <c r="AT224" s="280"/>
    </row>
    <row r="225" ht="14.2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78"/>
      <c r="U225" s="278"/>
      <c r="V225" s="279"/>
      <c r="W225" s="279"/>
      <c r="X225" s="279"/>
      <c r="Y225" s="279"/>
      <c r="Z225" s="279"/>
      <c r="AA225" s="279"/>
      <c r="AB225" s="279"/>
      <c r="AC225" s="279"/>
      <c r="AD225" s="279"/>
      <c r="AE225" s="279"/>
      <c r="AF225" s="279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80"/>
      <c r="AR225" s="280"/>
      <c r="AS225" s="280"/>
      <c r="AT225" s="280"/>
    </row>
    <row r="226" ht="14.2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78"/>
      <c r="U226" s="278"/>
      <c r="V226" s="279"/>
      <c r="W226" s="279"/>
      <c r="X226" s="279"/>
      <c r="Y226" s="279"/>
      <c r="Z226" s="279"/>
      <c r="AA226" s="279"/>
      <c r="AB226" s="279"/>
      <c r="AC226" s="279"/>
      <c r="AD226" s="279"/>
      <c r="AE226" s="279"/>
      <c r="AF226" s="279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80"/>
      <c r="AR226" s="280"/>
      <c r="AS226" s="280"/>
      <c r="AT226" s="280"/>
    </row>
    <row r="227" ht="14.2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78"/>
      <c r="U227" s="278"/>
      <c r="V227" s="279"/>
      <c r="W227" s="279"/>
      <c r="X227" s="279"/>
      <c r="Y227" s="279"/>
      <c r="Z227" s="279"/>
      <c r="AA227" s="279"/>
      <c r="AB227" s="279"/>
      <c r="AC227" s="279"/>
      <c r="AD227" s="279"/>
      <c r="AE227" s="279"/>
      <c r="AF227" s="279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80"/>
      <c r="AR227" s="280"/>
      <c r="AS227" s="280"/>
      <c r="AT227" s="280"/>
    </row>
    <row r="228" ht="14.2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78"/>
      <c r="U228" s="278"/>
      <c r="V228" s="279"/>
      <c r="W228" s="279"/>
      <c r="X228" s="279"/>
      <c r="Y228" s="279"/>
      <c r="Z228" s="279"/>
      <c r="AA228" s="279"/>
      <c r="AB228" s="279"/>
      <c r="AC228" s="279"/>
      <c r="AD228" s="279"/>
      <c r="AE228" s="279"/>
      <c r="AF228" s="279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80"/>
      <c r="AR228" s="280"/>
      <c r="AS228" s="280"/>
      <c r="AT228" s="280"/>
    </row>
    <row r="229" ht="14.2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78"/>
      <c r="U229" s="278"/>
      <c r="V229" s="279"/>
      <c r="W229" s="279"/>
      <c r="X229" s="279"/>
      <c r="Y229" s="279"/>
      <c r="Z229" s="279"/>
      <c r="AA229" s="279"/>
      <c r="AB229" s="279"/>
      <c r="AC229" s="279"/>
      <c r="AD229" s="279"/>
      <c r="AE229" s="279"/>
      <c r="AF229" s="279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80"/>
      <c r="AR229" s="280"/>
      <c r="AS229" s="280"/>
      <c r="AT229" s="280"/>
    </row>
    <row r="230" ht="14.2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78"/>
      <c r="U230" s="278"/>
      <c r="V230" s="279"/>
      <c r="W230" s="279"/>
      <c r="X230" s="279"/>
      <c r="Y230" s="279"/>
      <c r="Z230" s="279"/>
      <c r="AA230" s="279"/>
      <c r="AB230" s="279"/>
      <c r="AC230" s="279"/>
      <c r="AD230" s="279"/>
      <c r="AE230" s="279"/>
      <c r="AF230" s="279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80"/>
      <c r="AR230" s="280"/>
      <c r="AS230" s="280"/>
      <c r="AT230" s="280"/>
    </row>
    <row r="231" ht="14.2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78"/>
      <c r="U231" s="278"/>
      <c r="V231" s="279"/>
      <c r="W231" s="279"/>
      <c r="X231" s="279"/>
      <c r="Y231" s="279"/>
      <c r="Z231" s="279"/>
      <c r="AA231" s="279"/>
      <c r="AB231" s="279"/>
      <c r="AC231" s="279"/>
      <c r="AD231" s="279"/>
      <c r="AE231" s="279"/>
      <c r="AF231" s="279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80"/>
      <c r="AR231" s="280"/>
      <c r="AS231" s="280"/>
      <c r="AT231" s="280"/>
    </row>
    <row r="232" ht="14.2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78"/>
      <c r="U232" s="278"/>
      <c r="V232" s="279"/>
      <c r="W232" s="279"/>
      <c r="X232" s="279"/>
      <c r="Y232" s="279"/>
      <c r="Z232" s="279"/>
      <c r="AA232" s="279"/>
      <c r="AB232" s="279"/>
      <c r="AC232" s="279"/>
      <c r="AD232" s="279"/>
      <c r="AE232" s="279"/>
      <c r="AF232" s="279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80"/>
      <c r="AR232" s="280"/>
      <c r="AS232" s="280"/>
      <c r="AT232" s="280"/>
    </row>
    <row r="233" ht="14.2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78"/>
      <c r="U233" s="278"/>
      <c r="V233" s="279"/>
      <c r="W233" s="279"/>
      <c r="X233" s="279"/>
      <c r="Y233" s="279"/>
      <c r="Z233" s="279"/>
      <c r="AA233" s="279"/>
      <c r="AB233" s="279"/>
      <c r="AC233" s="279"/>
      <c r="AD233" s="279"/>
      <c r="AE233" s="279"/>
      <c r="AF233" s="279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80"/>
      <c r="AR233" s="280"/>
      <c r="AS233" s="280"/>
      <c r="AT233" s="280"/>
    </row>
    <row r="234" ht="14.2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78"/>
      <c r="U234" s="278"/>
      <c r="V234" s="279"/>
      <c r="W234" s="279"/>
      <c r="X234" s="279"/>
      <c r="Y234" s="279"/>
      <c r="Z234" s="279"/>
      <c r="AA234" s="279"/>
      <c r="AB234" s="279"/>
      <c r="AC234" s="279"/>
      <c r="AD234" s="279"/>
      <c r="AE234" s="279"/>
      <c r="AF234" s="279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80"/>
      <c r="AR234" s="280"/>
      <c r="AS234" s="280"/>
      <c r="AT234" s="280"/>
    </row>
    <row r="235" ht="14.2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78"/>
      <c r="U235" s="278"/>
      <c r="V235" s="279"/>
      <c r="W235" s="279"/>
      <c r="X235" s="279"/>
      <c r="Y235" s="279"/>
      <c r="Z235" s="279"/>
      <c r="AA235" s="279"/>
      <c r="AB235" s="279"/>
      <c r="AC235" s="279"/>
      <c r="AD235" s="279"/>
      <c r="AE235" s="279"/>
      <c r="AF235" s="279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80"/>
      <c r="AR235" s="280"/>
      <c r="AS235" s="280"/>
      <c r="AT235" s="280"/>
    </row>
    <row r="236" ht="14.2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78"/>
      <c r="U236" s="278"/>
      <c r="V236" s="279"/>
      <c r="W236" s="279"/>
      <c r="X236" s="279"/>
      <c r="Y236" s="279"/>
      <c r="Z236" s="279"/>
      <c r="AA236" s="279"/>
      <c r="AB236" s="279"/>
      <c r="AC236" s="279"/>
      <c r="AD236" s="279"/>
      <c r="AE236" s="279"/>
      <c r="AF236" s="279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80"/>
      <c r="AR236" s="280"/>
      <c r="AS236" s="280"/>
      <c r="AT236" s="280"/>
    </row>
    <row r="237" ht="14.2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78"/>
      <c r="U237" s="278"/>
      <c r="V237" s="279"/>
      <c r="W237" s="279"/>
      <c r="X237" s="279"/>
      <c r="Y237" s="279"/>
      <c r="Z237" s="279"/>
      <c r="AA237" s="279"/>
      <c r="AB237" s="279"/>
      <c r="AC237" s="279"/>
      <c r="AD237" s="279"/>
      <c r="AE237" s="279"/>
      <c r="AF237" s="279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80"/>
      <c r="AR237" s="280"/>
      <c r="AS237" s="280"/>
      <c r="AT237" s="280"/>
    </row>
    <row r="238" ht="14.2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78"/>
      <c r="U238" s="278"/>
      <c r="V238" s="279"/>
      <c r="W238" s="279"/>
      <c r="X238" s="279"/>
      <c r="Y238" s="279"/>
      <c r="Z238" s="279"/>
      <c r="AA238" s="279"/>
      <c r="AB238" s="279"/>
      <c r="AC238" s="279"/>
      <c r="AD238" s="279"/>
      <c r="AE238" s="279"/>
      <c r="AF238" s="279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80"/>
      <c r="AR238" s="280"/>
      <c r="AS238" s="280"/>
      <c r="AT238" s="280"/>
    </row>
    <row r="239" ht="14.2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78"/>
      <c r="U239" s="278"/>
      <c r="V239" s="279"/>
      <c r="W239" s="279"/>
      <c r="X239" s="279"/>
      <c r="Y239" s="279"/>
      <c r="Z239" s="279"/>
      <c r="AA239" s="279"/>
      <c r="AB239" s="279"/>
      <c r="AC239" s="279"/>
      <c r="AD239" s="279"/>
      <c r="AE239" s="279"/>
      <c r="AF239" s="279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80"/>
      <c r="AR239" s="280"/>
      <c r="AS239" s="280"/>
      <c r="AT239" s="280"/>
    </row>
    <row r="240" ht="14.2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78"/>
      <c r="U240" s="278"/>
      <c r="V240" s="279"/>
      <c r="W240" s="279"/>
      <c r="X240" s="279"/>
      <c r="Y240" s="279"/>
      <c r="Z240" s="279"/>
      <c r="AA240" s="279"/>
      <c r="AB240" s="279"/>
      <c r="AC240" s="279"/>
      <c r="AD240" s="279"/>
      <c r="AE240" s="279"/>
      <c r="AF240" s="279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80"/>
      <c r="AR240" s="280"/>
      <c r="AS240" s="280"/>
      <c r="AT240" s="280"/>
    </row>
    <row r="241" ht="14.2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78"/>
      <c r="U241" s="278"/>
      <c r="V241" s="279"/>
      <c r="W241" s="279"/>
      <c r="X241" s="279"/>
      <c r="Y241" s="279"/>
      <c r="Z241" s="279"/>
      <c r="AA241" s="279"/>
      <c r="AB241" s="279"/>
      <c r="AC241" s="279"/>
      <c r="AD241" s="279"/>
      <c r="AE241" s="279"/>
      <c r="AF241" s="279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80"/>
      <c r="AR241" s="280"/>
      <c r="AS241" s="280"/>
      <c r="AT241" s="280"/>
    </row>
    <row r="242" ht="14.2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78"/>
      <c r="U242" s="278"/>
      <c r="V242" s="279"/>
      <c r="W242" s="279"/>
      <c r="X242" s="279"/>
      <c r="Y242" s="279"/>
      <c r="Z242" s="279"/>
      <c r="AA242" s="279"/>
      <c r="AB242" s="279"/>
      <c r="AC242" s="279"/>
      <c r="AD242" s="279"/>
      <c r="AE242" s="279"/>
      <c r="AF242" s="279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80"/>
      <c r="AR242" s="280"/>
      <c r="AS242" s="280"/>
      <c r="AT242" s="280"/>
    </row>
    <row r="243" ht="14.2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78"/>
      <c r="U243" s="278"/>
      <c r="V243" s="279"/>
      <c r="W243" s="279"/>
      <c r="X243" s="279"/>
      <c r="Y243" s="279"/>
      <c r="Z243" s="279"/>
      <c r="AA243" s="279"/>
      <c r="AB243" s="279"/>
      <c r="AC243" s="279"/>
      <c r="AD243" s="279"/>
      <c r="AE243" s="279"/>
      <c r="AF243" s="279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80"/>
      <c r="AR243" s="280"/>
      <c r="AS243" s="280"/>
      <c r="AT243" s="280"/>
    </row>
    <row r="244" ht="14.2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78"/>
      <c r="U244" s="278"/>
      <c r="V244" s="279"/>
      <c r="W244" s="279"/>
      <c r="X244" s="279"/>
      <c r="Y244" s="279"/>
      <c r="Z244" s="279"/>
      <c r="AA244" s="279"/>
      <c r="AB244" s="279"/>
      <c r="AC244" s="279"/>
      <c r="AD244" s="279"/>
      <c r="AE244" s="279"/>
      <c r="AF244" s="279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80"/>
      <c r="AR244" s="280"/>
      <c r="AS244" s="280"/>
      <c r="AT244" s="280"/>
    </row>
    <row r="245" ht="14.2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78"/>
      <c r="U245" s="278"/>
      <c r="V245" s="279"/>
      <c r="W245" s="279"/>
      <c r="X245" s="279"/>
      <c r="Y245" s="279"/>
      <c r="Z245" s="279"/>
      <c r="AA245" s="279"/>
      <c r="AB245" s="279"/>
      <c r="AC245" s="279"/>
      <c r="AD245" s="279"/>
      <c r="AE245" s="279"/>
      <c r="AF245" s="279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80"/>
      <c r="AR245" s="280"/>
      <c r="AS245" s="280"/>
      <c r="AT245" s="280"/>
    </row>
    <row r="246" ht="14.2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78"/>
      <c r="U246" s="278"/>
      <c r="V246" s="279"/>
      <c r="W246" s="279"/>
      <c r="X246" s="279"/>
      <c r="Y246" s="279"/>
      <c r="Z246" s="279"/>
      <c r="AA246" s="279"/>
      <c r="AB246" s="279"/>
      <c r="AC246" s="279"/>
      <c r="AD246" s="279"/>
      <c r="AE246" s="279"/>
      <c r="AF246" s="279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80"/>
      <c r="AR246" s="280"/>
      <c r="AS246" s="280"/>
      <c r="AT246" s="280"/>
    </row>
    <row r="247" ht="14.2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78"/>
      <c r="U247" s="278"/>
      <c r="V247" s="279"/>
      <c r="W247" s="279"/>
      <c r="X247" s="279"/>
      <c r="Y247" s="279"/>
      <c r="Z247" s="279"/>
      <c r="AA247" s="279"/>
      <c r="AB247" s="279"/>
      <c r="AC247" s="279"/>
      <c r="AD247" s="279"/>
      <c r="AE247" s="279"/>
      <c r="AF247" s="279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80"/>
      <c r="AR247" s="280"/>
      <c r="AS247" s="280"/>
      <c r="AT247" s="280"/>
    </row>
    <row r="248" ht="14.2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78"/>
      <c r="U248" s="278"/>
      <c r="V248" s="279"/>
      <c r="W248" s="279"/>
      <c r="X248" s="279"/>
      <c r="Y248" s="279"/>
      <c r="Z248" s="279"/>
      <c r="AA248" s="279"/>
      <c r="AB248" s="279"/>
      <c r="AC248" s="279"/>
      <c r="AD248" s="279"/>
      <c r="AE248" s="279"/>
      <c r="AF248" s="279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80"/>
      <c r="AR248" s="280"/>
      <c r="AS248" s="280"/>
      <c r="AT248" s="280"/>
    </row>
    <row r="249" ht="14.2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78"/>
      <c r="U249" s="278"/>
      <c r="V249" s="279"/>
      <c r="W249" s="279"/>
      <c r="X249" s="279"/>
      <c r="Y249" s="279"/>
      <c r="Z249" s="279"/>
      <c r="AA249" s="279"/>
      <c r="AB249" s="279"/>
      <c r="AC249" s="279"/>
      <c r="AD249" s="279"/>
      <c r="AE249" s="279"/>
      <c r="AF249" s="279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80"/>
      <c r="AR249" s="280"/>
      <c r="AS249" s="280"/>
      <c r="AT249" s="280"/>
    </row>
    <row r="250" ht="14.2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78"/>
      <c r="U250" s="278"/>
      <c r="V250" s="279"/>
      <c r="W250" s="279"/>
      <c r="X250" s="279"/>
      <c r="Y250" s="279"/>
      <c r="Z250" s="279"/>
      <c r="AA250" s="279"/>
      <c r="AB250" s="279"/>
      <c r="AC250" s="279"/>
      <c r="AD250" s="279"/>
      <c r="AE250" s="279"/>
      <c r="AF250" s="279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80"/>
      <c r="AR250" s="280"/>
      <c r="AS250" s="280"/>
      <c r="AT250" s="280"/>
    </row>
    <row r="251" ht="14.2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78"/>
      <c r="U251" s="278"/>
      <c r="V251" s="279"/>
      <c r="W251" s="279"/>
      <c r="X251" s="279"/>
      <c r="Y251" s="279"/>
      <c r="Z251" s="279"/>
      <c r="AA251" s="279"/>
      <c r="AB251" s="279"/>
      <c r="AC251" s="279"/>
      <c r="AD251" s="279"/>
      <c r="AE251" s="279"/>
      <c r="AF251" s="279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80"/>
      <c r="AR251" s="280"/>
      <c r="AS251" s="280"/>
      <c r="AT251" s="280"/>
    </row>
    <row r="252" ht="14.2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78"/>
      <c r="U252" s="278"/>
      <c r="V252" s="279"/>
      <c r="W252" s="279"/>
      <c r="X252" s="279"/>
      <c r="Y252" s="279"/>
      <c r="Z252" s="279"/>
      <c r="AA252" s="279"/>
      <c r="AB252" s="279"/>
      <c r="AC252" s="279"/>
      <c r="AD252" s="279"/>
      <c r="AE252" s="279"/>
      <c r="AF252" s="279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80"/>
      <c r="AR252" s="280"/>
      <c r="AS252" s="280"/>
      <c r="AT252" s="280"/>
    </row>
    <row r="253" ht="14.2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78"/>
      <c r="U253" s="278"/>
      <c r="V253" s="279"/>
      <c r="W253" s="279"/>
      <c r="X253" s="279"/>
      <c r="Y253" s="279"/>
      <c r="Z253" s="279"/>
      <c r="AA253" s="279"/>
      <c r="AB253" s="279"/>
      <c r="AC253" s="279"/>
      <c r="AD253" s="279"/>
      <c r="AE253" s="279"/>
      <c r="AF253" s="279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80"/>
      <c r="AR253" s="280"/>
      <c r="AS253" s="280"/>
      <c r="AT253" s="280"/>
    </row>
    <row r="254" ht="14.2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78"/>
      <c r="U254" s="278"/>
      <c r="V254" s="279"/>
      <c r="W254" s="279"/>
      <c r="X254" s="279"/>
      <c r="Y254" s="279"/>
      <c r="Z254" s="279"/>
      <c r="AA254" s="279"/>
      <c r="AB254" s="279"/>
      <c r="AC254" s="279"/>
      <c r="AD254" s="279"/>
      <c r="AE254" s="279"/>
      <c r="AF254" s="279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80"/>
      <c r="AR254" s="280"/>
      <c r="AS254" s="280"/>
      <c r="AT254" s="280"/>
    </row>
    <row r="255" ht="14.2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78"/>
      <c r="U255" s="278"/>
      <c r="V255" s="279"/>
      <c r="W255" s="279"/>
      <c r="X255" s="279"/>
      <c r="Y255" s="279"/>
      <c r="Z255" s="279"/>
      <c r="AA255" s="279"/>
      <c r="AB255" s="279"/>
      <c r="AC255" s="279"/>
      <c r="AD255" s="279"/>
      <c r="AE255" s="279"/>
      <c r="AF255" s="279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80"/>
      <c r="AR255" s="280"/>
      <c r="AS255" s="280"/>
      <c r="AT255" s="280"/>
    </row>
    <row r="256" ht="14.2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78"/>
      <c r="U256" s="278"/>
      <c r="V256" s="279"/>
      <c r="W256" s="279"/>
      <c r="X256" s="279"/>
      <c r="Y256" s="279"/>
      <c r="Z256" s="279"/>
      <c r="AA256" s="279"/>
      <c r="AB256" s="279"/>
      <c r="AC256" s="279"/>
      <c r="AD256" s="279"/>
      <c r="AE256" s="279"/>
      <c r="AF256" s="279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80"/>
      <c r="AR256" s="280"/>
      <c r="AS256" s="280"/>
      <c r="AT256" s="280"/>
    </row>
    <row r="257" ht="14.2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78"/>
      <c r="U257" s="278"/>
      <c r="V257" s="279"/>
      <c r="W257" s="279"/>
      <c r="X257" s="279"/>
      <c r="Y257" s="279"/>
      <c r="Z257" s="279"/>
      <c r="AA257" s="279"/>
      <c r="AB257" s="279"/>
      <c r="AC257" s="279"/>
      <c r="AD257" s="279"/>
      <c r="AE257" s="279"/>
      <c r="AF257" s="279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80"/>
      <c r="AR257" s="280"/>
      <c r="AS257" s="280"/>
      <c r="AT257" s="280"/>
    </row>
    <row r="258" ht="14.2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78"/>
      <c r="U258" s="278"/>
      <c r="V258" s="279"/>
      <c r="W258" s="279"/>
      <c r="X258" s="279"/>
      <c r="Y258" s="279"/>
      <c r="Z258" s="279"/>
      <c r="AA258" s="279"/>
      <c r="AB258" s="279"/>
      <c r="AC258" s="279"/>
      <c r="AD258" s="279"/>
      <c r="AE258" s="279"/>
      <c r="AF258" s="279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80"/>
      <c r="AR258" s="280"/>
      <c r="AS258" s="280"/>
      <c r="AT258" s="280"/>
    </row>
    <row r="259" ht="14.2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78"/>
      <c r="U259" s="278"/>
      <c r="V259" s="279"/>
      <c r="W259" s="279"/>
      <c r="X259" s="279"/>
      <c r="Y259" s="279"/>
      <c r="Z259" s="279"/>
      <c r="AA259" s="279"/>
      <c r="AB259" s="279"/>
      <c r="AC259" s="279"/>
      <c r="AD259" s="279"/>
      <c r="AE259" s="279"/>
      <c r="AF259" s="279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80"/>
      <c r="AR259" s="280"/>
      <c r="AS259" s="280"/>
      <c r="AT259" s="280"/>
    </row>
    <row r="260" ht="14.2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78"/>
      <c r="U260" s="278"/>
      <c r="V260" s="279"/>
      <c r="W260" s="279"/>
      <c r="X260" s="279"/>
      <c r="Y260" s="279"/>
      <c r="Z260" s="279"/>
      <c r="AA260" s="279"/>
      <c r="AB260" s="279"/>
      <c r="AC260" s="279"/>
      <c r="AD260" s="279"/>
      <c r="AE260" s="279"/>
      <c r="AF260" s="279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80"/>
      <c r="AR260" s="280"/>
      <c r="AS260" s="280"/>
      <c r="AT260" s="280"/>
    </row>
    <row r="261" ht="14.2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78"/>
      <c r="U261" s="278"/>
      <c r="V261" s="279"/>
      <c r="W261" s="279"/>
      <c r="X261" s="279"/>
      <c r="Y261" s="279"/>
      <c r="Z261" s="279"/>
      <c r="AA261" s="279"/>
      <c r="AB261" s="279"/>
      <c r="AC261" s="279"/>
      <c r="AD261" s="279"/>
      <c r="AE261" s="279"/>
      <c r="AF261" s="279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80"/>
      <c r="AR261" s="280"/>
      <c r="AS261" s="280"/>
      <c r="AT261" s="280"/>
    </row>
    <row r="262" ht="14.2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78"/>
      <c r="U262" s="278"/>
      <c r="V262" s="279"/>
      <c r="W262" s="279"/>
      <c r="X262" s="279"/>
      <c r="Y262" s="279"/>
      <c r="Z262" s="279"/>
      <c r="AA262" s="279"/>
      <c r="AB262" s="279"/>
      <c r="AC262" s="279"/>
      <c r="AD262" s="279"/>
      <c r="AE262" s="279"/>
      <c r="AF262" s="279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80"/>
      <c r="AR262" s="280"/>
      <c r="AS262" s="280"/>
      <c r="AT262" s="280"/>
    </row>
    <row r="263" ht="14.2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78"/>
      <c r="U263" s="278"/>
      <c r="V263" s="279"/>
      <c r="W263" s="279"/>
      <c r="X263" s="279"/>
      <c r="Y263" s="279"/>
      <c r="Z263" s="279"/>
      <c r="AA263" s="279"/>
      <c r="AB263" s="279"/>
      <c r="AC263" s="279"/>
      <c r="AD263" s="279"/>
      <c r="AE263" s="279"/>
      <c r="AF263" s="279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80"/>
      <c r="AR263" s="280"/>
      <c r="AS263" s="280"/>
      <c r="AT263" s="280"/>
    </row>
    <row r="264" ht="14.2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78"/>
      <c r="U264" s="278"/>
      <c r="V264" s="279"/>
      <c r="W264" s="279"/>
      <c r="X264" s="279"/>
      <c r="Y264" s="279"/>
      <c r="Z264" s="279"/>
      <c r="AA264" s="279"/>
      <c r="AB264" s="279"/>
      <c r="AC264" s="279"/>
      <c r="AD264" s="279"/>
      <c r="AE264" s="279"/>
      <c r="AF264" s="279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80"/>
      <c r="AR264" s="280"/>
      <c r="AS264" s="280"/>
      <c r="AT264" s="280"/>
    </row>
    <row r="265" ht="14.2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78"/>
      <c r="U265" s="278"/>
      <c r="V265" s="279"/>
      <c r="W265" s="279"/>
      <c r="X265" s="279"/>
      <c r="Y265" s="279"/>
      <c r="Z265" s="279"/>
      <c r="AA265" s="279"/>
      <c r="AB265" s="279"/>
      <c r="AC265" s="279"/>
      <c r="AD265" s="279"/>
      <c r="AE265" s="279"/>
      <c r="AF265" s="279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80"/>
      <c r="AR265" s="280"/>
      <c r="AS265" s="280"/>
      <c r="AT265" s="280"/>
    </row>
    <row r="266" ht="14.2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78"/>
      <c r="U266" s="278"/>
      <c r="V266" s="279"/>
      <c r="W266" s="279"/>
      <c r="X266" s="279"/>
      <c r="Y266" s="279"/>
      <c r="Z266" s="279"/>
      <c r="AA266" s="279"/>
      <c r="AB266" s="279"/>
      <c r="AC266" s="279"/>
      <c r="AD266" s="279"/>
      <c r="AE266" s="279"/>
      <c r="AF266" s="279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80"/>
      <c r="AR266" s="280"/>
      <c r="AS266" s="280"/>
      <c r="AT266" s="280"/>
    </row>
    <row r="267" ht="14.2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78"/>
      <c r="U267" s="278"/>
      <c r="V267" s="279"/>
      <c r="W267" s="279"/>
      <c r="X267" s="279"/>
      <c r="Y267" s="279"/>
      <c r="Z267" s="279"/>
      <c r="AA267" s="279"/>
      <c r="AB267" s="279"/>
      <c r="AC267" s="279"/>
      <c r="AD267" s="279"/>
      <c r="AE267" s="279"/>
      <c r="AF267" s="279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80"/>
      <c r="AR267" s="280"/>
      <c r="AS267" s="280"/>
      <c r="AT267" s="280"/>
    </row>
    <row r="268" ht="14.2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78"/>
      <c r="U268" s="278"/>
      <c r="V268" s="279"/>
      <c r="W268" s="279"/>
      <c r="X268" s="279"/>
      <c r="Y268" s="279"/>
      <c r="Z268" s="279"/>
      <c r="AA268" s="279"/>
      <c r="AB268" s="279"/>
      <c r="AC268" s="279"/>
      <c r="AD268" s="279"/>
      <c r="AE268" s="279"/>
      <c r="AF268" s="279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80"/>
      <c r="AR268" s="280"/>
      <c r="AS268" s="280"/>
      <c r="AT268" s="280"/>
    </row>
    <row r="269" ht="14.2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78"/>
      <c r="U269" s="278"/>
      <c r="V269" s="279"/>
      <c r="W269" s="279"/>
      <c r="X269" s="279"/>
      <c r="Y269" s="279"/>
      <c r="Z269" s="279"/>
      <c r="AA269" s="279"/>
      <c r="AB269" s="279"/>
      <c r="AC269" s="279"/>
      <c r="AD269" s="279"/>
      <c r="AE269" s="279"/>
      <c r="AF269" s="279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80"/>
      <c r="AR269" s="280"/>
      <c r="AS269" s="280"/>
      <c r="AT269" s="280"/>
    </row>
    <row r="270" ht="14.2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78"/>
      <c r="U270" s="278"/>
      <c r="V270" s="279"/>
      <c r="W270" s="279"/>
      <c r="X270" s="279"/>
      <c r="Y270" s="279"/>
      <c r="Z270" s="279"/>
      <c r="AA270" s="279"/>
      <c r="AB270" s="279"/>
      <c r="AC270" s="279"/>
      <c r="AD270" s="279"/>
      <c r="AE270" s="279"/>
      <c r="AF270" s="279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80"/>
      <c r="AR270" s="280"/>
      <c r="AS270" s="280"/>
      <c r="AT270" s="280"/>
    </row>
    <row r="271" ht="14.2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78"/>
      <c r="U271" s="278"/>
      <c r="V271" s="279"/>
      <c r="W271" s="279"/>
      <c r="X271" s="279"/>
      <c r="Y271" s="279"/>
      <c r="Z271" s="279"/>
      <c r="AA271" s="279"/>
      <c r="AB271" s="279"/>
      <c r="AC271" s="279"/>
      <c r="AD271" s="279"/>
      <c r="AE271" s="279"/>
      <c r="AF271" s="279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80"/>
      <c r="AR271" s="280"/>
      <c r="AS271" s="280"/>
      <c r="AT271" s="280"/>
    </row>
    <row r="272" ht="14.2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78"/>
      <c r="U272" s="278"/>
      <c r="V272" s="279"/>
      <c r="W272" s="279"/>
      <c r="X272" s="279"/>
      <c r="Y272" s="279"/>
      <c r="Z272" s="279"/>
      <c r="AA272" s="279"/>
      <c r="AB272" s="279"/>
      <c r="AC272" s="279"/>
      <c r="AD272" s="279"/>
      <c r="AE272" s="279"/>
      <c r="AF272" s="279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80"/>
      <c r="AR272" s="280"/>
      <c r="AS272" s="280"/>
      <c r="AT272" s="280"/>
    </row>
    <row r="273" ht="14.2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78"/>
      <c r="U273" s="278"/>
      <c r="V273" s="279"/>
      <c r="W273" s="279"/>
      <c r="X273" s="279"/>
      <c r="Y273" s="279"/>
      <c r="Z273" s="279"/>
      <c r="AA273" s="279"/>
      <c r="AB273" s="279"/>
      <c r="AC273" s="279"/>
      <c r="AD273" s="279"/>
      <c r="AE273" s="279"/>
      <c r="AF273" s="279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80"/>
      <c r="AR273" s="280"/>
      <c r="AS273" s="280"/>
      <c r="AT273" s="280"/>
    </row>
    <row r="274" ht="14.2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78"/>
      <c r="U274" s="278"/>
      <c r="V274" s="279"/>
      <c r="W274" s="279"/>
      <c r="X274" s="279"/>
      <c r="Y274" s="279"/>
      <c r="Z274" s="279"/>
      <c r="AA274" s="279"/>
      <c r="AB274" s="279"/>
      <c r="AC274" s="279"/>
      <c r="AD274" s="279"/>
      <c r="AE274" s="279"/>
      <c r="AF274" s="279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80"/>
      <c r="AR274" s="280"/>
      <c r="AS274" s="280"/>
      <c r="AT274" s="280"/>
    </row>
    <row r="275" ht="14.2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78"/>
      <c r="U275" s="278"/>
      <c r="V275" s="279"/>
      <c r="W275" s="279"/>
      <c r="X275" s="279"/>
      <c r="Y275" s="279"/>
      <c r="Z275" s="279"/>
      <c r="AA275" s="279"/>
      <c r="AB275" s="279"/>
      <c r="AC275" s="279"/>
      <c r="AD275" s="279"/>
      <c r="AE275" s="279"/>
      <c r="AF275" s="279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80"/>
      <c r="AR275" s="280"/>
      <c r="AS275" s="280"/>
      <c r="AT275" s="280"/>
    </row>
    <row r="276" ht="14.2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78"/>
      <c r="U276" s="278"/>
      <c r="V276" s="279"/>
      <c r="W276" s="279"/>
      <c r="X276" s="279"/>
      <c r="Y276" s="279"/>
      <c r="Z276" s="279"/>
      <c r="AA276" s="279"/>
      <c r="AB276" s="279"/>
      <c r="AC276" s="279"/>
      <c r="AD276" s="279"/>
      <c r="AE276" s="279"/>
      <c r="AF276" s="279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80"/>
      <c r="AR276" s="280"/>
      <c r="AS276" s="280"/>
      <c r="AT276" s="280"/>
    </row>
    <row r="277" ht="14.2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78"/>
      <c r="U277" s="278"/>
      <c r="V277" s="279"/>
      <c r="W277" s="279"/>
      <c r="X277" s="279"/>
      <c r="Y277" s="279"/>
      <c r="Z277" s="279"/>
      <c r="AA277" s="279"/>
      <c r="AB277" s="279"/>
      <c r="AC277" s="279"/>
      <c r="AD277" s="279"/>
      <c r="AE277" s="279"/>
      <c r="AF277" s="279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80"/>
      <c r="AR277" s="280"/>
      <c r="AS277" s="280"/>
      <c r="AT277" s="280"/>
    </row>
    <row r="278" ht="14.2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78"/>
      <c r="U278" s="278"/>
      <c r="V278" s="279"/>
      <c r="W278" s="279"/>
      <c r="X278" s="279"/>
      <c r="Y278" s="279"/>
      <c r="Z278" s="279"/>
      <c r="AA278" s="279"/>
      <c r="AB278" s="279"/>
      <c r="AC278" s="279"/>
      <c r="AD278" s="279"/>
      <c r="AE278" s="279"/>
      <c r="AF278" s="279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80"/>
      <c r="AR278" s="280"/>
      <c r="AS278" s="280"/>
      <c r="AT278" s="280"/>
    </row>
    <row r="279" ht="14.2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78"/>
      <c r="U279" s="278"/>
      <c r="V279" s="279"/>
      <c r="W279" s="279"/>
      <c r="X279" s="279"/>
      <c r="Y279" s="279"/>
      <c r="Z279" s="279"/>
      <c r="AA279" s="279"/>
      <c r="AB279" s="279"/>
      <c r="AC279" s="279"/>
      <c r="AD279" s="279"/>
      <c r="AE279" s="279"/>
      <c r="AF279" s="279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80"/>
      <c r="AR279" s="280"/>
      <c r="AS279" s="280"/>
      <c r="AT279" s="280"/>
    </row>
    <row r="280" ht="14.2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78"/>
      <c r="U280" s="278"/>
      <c r="V280" s="279"/>
      <c r="W280" s="279"/>
      <c r="X280" s="279"/>
      <c r="Y280" s="279"/>
      <c r="Z280" s="279"/>
      <c r="AA280" s="279"/>
      <c r="AB280" s="279"/>
      <c r="AC280" s="279"/>
      <c r="AD280" s="279"/>
      <c r="AE280" s="279"/>
      <c r="AF280" s="279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80"/>
      <c r="AR280" s="280"/>
      <c r="AS280" s="280"/>
      <c r="AT280" s="280"/>
    </row>
    <row r="281" ht="14.2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78"/>
      <c r="U281" s="278"/>
      <c r="V281" s="279"/>
      <c r="W281" s="279"/>
      <c r="X281" s="279"/>
      <c r="Y281" s="279"/>
      <c r="Z281" s="279"/>
      <c r="AA281" s="279"/>
      <c r="AB281" s="279"/>
      <c r="AC281" s="279"/>
      <c r="AD281" s="279"/>
      <c r="AE281" s="279"/>
      <c r="AF281" s="279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80"/>
      <c r="AR281" s="280"/>
      <c r="AS281" s="280"/>
      <c r="AT281" s="280"/>
    </row>
    <row r="282" ht="14.2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78"/>
      <c r="U282" s="278"/>
      <c r="V282" s="279"/>
      <c r="W282" s="279"/>
      <c r="X282" s="279"/>
      <c r="Y282" s="279"/>
      <c r="Z282" s="279"/>
      <c r="AA282" s="279"/>
      <c r="AB282" s="279"/>
      <c r="AC282" s="279"/>
      <c r="AD282" s="279"/>
      <c r="AE282" s="279"/>
      <c r="AF282" s="279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80"/>
      <c r="AR282" s="280"/>
      <c r="AS282" s="280"/>
      <c r="AT282" s="280"/>
    </row>
    <row r="283" ht="14.2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78"/>
      <c r="U283" s="278"/>
      <c r="V283" s="279"/>
      <c r="W283" s="279"/>
      <c r="X283" s="279"/>
      <c r="Y283" s="279"/>
      <c r="Z283" s="279"/>
      <c r="AA283" s="279"/>
      <c r="AB283" s="279"/>
      <c r="AC283" s="279"/>
      <c r="AD283" s="279"/>
      <c r="AE283" s="279"/>
      <c r="AF283" s="279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80"/>
      <c r="AR283" s="280"/>
      <c r="AS283" s="280"/>
      <c r="AT283" s="280"/>
    </row>
    <row r="284" ht="14.2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78"/>
      <c r="U284" s="278"/>
      <c r="V284" s="279"/>
      <c r="W284" s="279"/>
      <c r="X284" s="279"/>
      <c r="Y284" s="279"/>
      <c r="Z284" s="279"/>
      <c r="AA284" s="279"/>
      <c r="AB284" s="279"/>
      <c r="AC284" s="279"/>
      <c r="AD284" s="279"/>
      <c r="AE284" s="279"/>
      <c r="AF284" s="279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80"/>
      <c r="AR284" s="280"/>
      <c r="AS284" s="280"/>
      <c r="AT284" s="280"/>
    </row>
    <row r="285" ht="14.2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78"/>
      <c r="U285" s="278"/>
      <c r="V285" s="279"/>
      <c r="W285" s="279"/>
      <c r="X285" s="279"/>
      <c r="Y285" s="279"/>
      <c r="Z285" s="279"/>
      <c r="AA285" s="279"/>
      <c r="AB285" s="279"/>
      <c r="AC285" s="279"/>
      <c r="AD285" s="279"/>
      <c r="AE285" s="279"/>
      <c r="AF285" s="279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80"/>
      <c r="AR285" s="280"/>
      <c r="AS285" s="280"/>
      <c r="AT285" s="280"/>
    </row>
    <row r="286" ht="14.2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78"/>
      <c r="U286" s="278"/>
      <c r="V286" s="279"/>
      <c r="W286" s="279"/>
      <c r="X286" s="279"/>
      <c r="Y286" s="279"/>
      <c r="Z286" s="279"/>
      <c r="AA286" s="279"/>
      <c r="AB286" s="279"/>
      <c r="AC286" s="279"/>
      <c r="AD286" s="279"/>
      <c r="AE286" s="279"/>
      <c r="AF286" s="279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80"/>
      <c r="AR286" s="280"/>
      <c r="AS286" s="280"/>
      <c r="AT286" s="280"/>
    </row>
    <row r="287" ht="14.2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78"/>
      <c r="U287" s="278"/>
      <c r="V287" s="279"/>
      <c r="W287" s="279"/>
      <c r="X287" s="279"/>
      <c r="Y287" s="279"/>
      <c r="Z287" s="279"/>
      <c r="AA287" s="279"/>
      <c r="AB287" s="279"/>
      <c r="AC287" s="279"/>
      <c r="AD287" s="279"/>
      <c r="AE287" s="279"/>
      <c r="AF287" s="279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80"/>
      <c r="AR287" s="280"/>
      <c r="AS287" s="280"/>
      <c r="AT287" s="280"/>
    </row>
    <row r="288" ht="14.2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78"/>
      <c r="U288" s="278"/>
      <c r="V288" s="279"/>
      <c r="W288" s="279"/>
      <c r="X288" s="279"/>
      <c r="Y288" s="279"/>
      <c r="Z288" s="279"/>
      <c r="AA288" s="279"/>
      <c r="AB288" s="279"/>
      <c r="AC288" s="279"/>
      <c r="AD288" s="279"/>
      <c r="AE288" s="279"/>
      <c r="AF288" s="279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80"/>
      <c r="AR288" s="280"/>
      <c r="AS288" s="280"/>
      <c r="AT288" s="280"/>
    </row>
    <row r="289" ht="14.2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78"/>
      <c r="U289" s="278"/>
      <c r="V289" s="279"/>
      <c r="W289" s="279"/>
      <c r="X289" s="279"/>
      <c r="Y289" s="279"/>
      <c r="Z289" s="279"/>
      <c r="AA289" s="279"/>
      <c r="AB289" s="279"/>
      <c r="AC289" s="279"/>
      <c r="AD289" s="279"/>
      <c r="AE289" s="279"/>
      <c r="AF289" s="279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80"/>
      <c r="AR289" s="280"/>
      <c r="AS289" s="280"/>
      <c r="AT289" s="280"/>
    </row>
    <row r="290" ht="14.2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78"/>
      <c r="U290" s="278"/>
      <c r="V290" s="279"/>
      <c r="W290" s="279"/>
      <c r="X290" s="279"/>
      <c r="Y290" s="279"/>
      <c r="Z290" s="279"/>
      <c r="AA290" s="279"/>
      <c r="AB290" s="279"/>
      <c r="AC290" s="279"/>
      <c r="AD290" s="279"/>
      <c r="AE290" s="279"/>
      <c r="AF290" s="279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80"/>
      <c r="AR290" s="280"/>
      <c r="AS290" s="280"/>
      <c r="AT290" s="280"/>
    </row>
    <row r="291" ht="14.2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78"/>
      <c r="U291" s="278"/>
      <c r="V291" s="279"/>
      <c r="W291" s="279"/>
      <c r="X291" s="279"/>
      <c r="Y291" s="279"/>
      <c r="Z291" s="279"/>
      <c r="AA291" s="279"/>
      <c r="AB291" s="279"/>
      <c r="AC291" s="279"/>
      <c r="AD291" s="279"/>
      <c r="AE291" s="279"/>
      <c r="AF291" s="279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80"/>
      <c r="AR291" s="280"/>
      <c r="AS291" s="280"/>
      <c r="AT291" s="280"/>
    </row>
    <row r="292" ht="14.2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78"/>
      <c r="U292" s="278"/>
      <c r="V292" s="279"/>
      <c r="W292" s="279"/>
      <c r="X292" s="279"/>
      <c r="Y292" s="279"/>
      <c r="Z292" s="279"/>
      <c r="AA292" s="279"/>
      <c r="AB292" s="279"/>
      <c r="AC292" s="279"/>
      <c r="AD292" s="279"/>
      <c r="AE292" s="279"/>
      <c r="AF292" s="279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80"/>
      <c r="AR292" s="280"/>
      <c r="AS292" s="280"/>
      <c r="AT292" s="280"/>
    </row>
    <row r="293" ht="14.2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78"/>
      <c r="U293" s="278"/>
      <c r="V293" s="279"/>
      <c r="W293" s="279"/>
      <c r="X293" s="279"/>
      <c r="Y293" s="279"/>
      <c r="Z293" s="279"/>
      <c r="AA293" s="279"/>
      <c r="AB293" s="279"/>
      <c r="AC293" s="279"/>
      <c r="AD293" s="279"/>
      <c r="AE293" s="279"/>
      <c r="AF293" s="279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80"/>
      <c r="AR293" s="280"/>
      <c r="AS293" s="280"/>
      <c r="AT293" s="280"/>
    </row>
    <row r="294" ht="14.2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78"/>
      <c r="U294" s="278"/>
      <c r="V294" s="279"/>
      <c r="W294" s="279"/>
      <c r="X294" s="279"/>
      <c r="Y294" s="279"/>
      <c r="Z294" s="279"/>
      <c r="AA294" s="279"/>
      <c r="AB294" s="279"/>
      <c r="AC294" s="279"/>
      <c r="AD294" s="279"/>
      <c r="AE294" s="279"/>
      <c r="AF294" s="279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80"/>
      <c r="AR294" s="280"/>
      <c r="AS294" s="280"/>
      <c r="AT294" s="280"/>
    </row>
    <row r="295" ht="14.2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78"/>
      <c r="U295" s="278"/>
      <c r="V295" s="279"/>
      <c r="W295" s="279"/>
      <c r="X295" s="279"/>
      <c r="Y295" s="279"/>
      <c r="Z295" s="279"/>
      <c r="AA295" s="279"/>
      <c r="AB295" s="279"/>
      <c r="AC295" s="279"/>
      <c r="AD295" s="279"/>
      <c r="AE295" s="279"/>
      <c r="AF295" s="279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80"/>
      <c r="AR295" s="280"/>
      <c r="AS295" s="280"/>
      <c r="AT295" s="280"/>
    </row>
    <row r="296" ht="14.2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78"/>
      <c r="U296" s="278"/>
      <c r="V296" s="279"/>
      <c r="W296" s="279"/>
      <c r="X296" s="279"/>
      <c r="Y296" s="279"/>
      <c r="Z296" s="279"/>
      <c r="AA296" s="279"/>
      <c r="AB296" s="279"/>
      <c r="AC296" s="279"/>
      <c r="AD296" s="279"/>
      <c r="AE296" s="279"/>
      <c r="AF296" s="279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80"/>
      <c r="AR296" s="280"/>
      <c r="AS296" s="280"/>
      <c r="AT296" s="280"/>
    </row>
    <row r="297" ht="14.2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78"/>
      <c r="U297" s="278"/>
      <c r="V297" s="279"/>
      <c r="W297" s="279"/>
      <c r="X297" s="279"/>
      <c r="Y297" s="279"/>
      <c r="Z297" s="279"/>
      <c r="AA297" s="279"/>
      <c r="AB297" s="279"/>
      <c r="AC297" s="279"/>
      <c r="AD297" s="279"/>
      <c r="AE297" s="279"/>
      <c r="AF297" s="279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80"/>
      <c r="AR297" s="280"/>
      <c r="AS297" s="280"/>
      <c r="AT297" s="280"/>
    </row>
    <row r="298" ht="14.2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78"/>
      <c r="U298" s="278"/>
      <c r="V298" s="279"/>
      <c r="W298" s="279"/>
      <c r="X298" s="279"/>
      <c r="Y298" s="279"/>
      <c r="Z298" s="279"/>
      <c r="AA298" s="279"/>
      <c r="AB298" s="279"/>
      <c r="AC298" s="279"/>
      <c r="AD298" s="279"/>
      <c r="AE298" s="279"/>
      <c r="AF298" s="279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80"/>
      <c r="AR298" s="280"/>
      <c r="AS298" s="280"/>
      <c r="AT298" s="280"/>
    </row>
    <row r="299" ht="14.2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78"/>
      <c r="U299" s="278"/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  <c r="AF299" s="279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80"/>
      <c r="AR299" s="280"/>
      <c r="AS299" s="280"/>
      <c r="AT299" s="280"/>
    </row>
    <row r="300" ht="14.2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78"/>
      <c r="U300" s="278"/>
      <c r="V300" s="279"/>
      <c r="W300" s="279"/>
      <c r="X300" s="279"/>
      <c r="Y300" s="279"/>
      <c r="Z300" s="279"/>
      <c r="AA300" s="279"/>
      <c r="AB300" s="279"/>
      <c r="AC300" s="279"/>
      <c r="AD300" s="279"/>
      <c r="AE300" s="279"/>
      <c r="AF300" s="279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80"/>
      <c r="AR300" s="280"/>
      <c r="AS300" s="280"/>
      <c r="AT300" s="280"/>
    </row>
    <row r="301" ht="14.2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78"/>
      <c r="U301" s="278"/>
      <c r="V301" s="279"/>
      <c r="W301" s="279"/>
      <c r="X301" s="279"/>
      <c r="Y301" s="279"/>
      <c r="Z301" s="279"/>
      <c r="AA301" s="279"/>
      <c r="AB301" s="279"/>
      <c r="AC301" s="279"/>
      <c r="AD301" s="279"/>
      <c r="AE301" s="279"/>
      <c r="AF301" s="279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80"/>
      <c r="AR301" s="280"/>
      <c r="AS301" s="280"/>
      <c r="AT301" s="280"/>
    </row>
    <row r="302" ht="14.2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78"/>
      <c r="U302" s="278"/>
      <c r="V302" s="279"/>
      <c r="W302" s="279"/>
      <c r="X302" s="279"/>
      <c r="Y302" s="279"/>
      <c r="Z302" s="279"/>
      <c r="AA302" s="279"/>
      <c r="AB302" s="279"/>
      <c r="AC302" s="279"/>
      <c r="AD302" s="279"/>
      <c r="AE302" s="279"/>
      <c r="AF302" s="279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80"/>
      <c r="AR302" s="280"/>
      <c r="AS302" s="280"/>
      <c r="AT302" s="280"/>
    </row>
    <row r="303" ht="14.2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78"/>
      <c r="U303" s="278"/>
      <c r="V303" s="279"/>
      <c r="W303" s="279"/>
      <c r="X303" s="279"/>
      <c r="Y303" s="279"/>
      <c r="Z303" s="279"/>
      <c r="AA303" s="279"/>
      <c r="AB303" s="279"/>
      <c r="AC303" s="279"/>
      <c r="AD303" s="279"/>
      <c r="AE303" s="279"/>
      <c r="AF303" s="279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80"/>
      <c r="AR303" s="280"/>
      <c r="AS303" s="280"/>
      <c r="AT303" s="280"/>
    </row>
    <row r="304" ht="14.2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78"/>
      <c r="U304" s="278"/>
      <c r="V304" s="279"/>
      <c r="W304" s="279"/>
      <c r="X304" s="279"/>
      <c r="Y304" s="279"/>
      <c r="Z304" s="279"/>
      <c r="AA304" s="279"/>
      <c r="AB304" s="279"/>
      <c r="AC304" s="279"/>
      <c r="AD304" s="279"/>
      <c r="AE304" s="279"/>
      <c r="AF304" s="279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80"/>
      <c r="AR304" s="280"/>
      <c r="AS304" s="280"/>
      <c r="AT304" s="280"/>
    </row>
    <row r="305" ht="14.2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78"/>
      <c r="U305" s="278"/>
      <c r="V305" s="279"/>
      <c r="W305" s="279"/>
      <c r="X305" s="279"/>
      <c r="Y305" s="279"/>
      <c r="Z305" s="279"/>
      <c r="AA305" s="279"/>
      <c r="AB305" s="279"/>
      <c r="AC305" s="279"/>
      <c r="AD305" s="279"/>
      <c r="AE305" s="279"/>
      <c r="AF305" s="279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80"/>
      <c r="AR305" s="280"/>
      <c r="AS305" s="280"/>
      <c r="AT305" s="280"/>
    </row>
    <row r="306" ht="14.2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78"/>
      <c r="U306" s="278"/>
      <c r="V306" s="279"/>
      <c r="W306" s="279"/>
      <c r="X306" s="279"/>
      <c r="Y306" s="279"/>
      <c r="Z306" s="279"/>
      <c r="AA306" s="279"/>
      <c r="AB306" s="279"/>
      <c r="AC306" s="279"/>
      <c r="AD306" s="279"/>
      <c r="AE306" s="279"/>
      <c r="AF306" s="279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80"/>
      <c r="AR306" s="280"/>
      <c r="AS306" s="280"/>
      <c r="AT306" s="280"/>
    </row>
    <row r="307" ht="14.2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78"/>
      <c r="U307" s="278"/>
      <c r="V307" s="279"/>
      <c r="W307" s="279"/>
      <c r="X307" s="279"/>
      <c r="Y307" s="279"/>
      <c r="Z307" s="279"/>
      <c r="AA307" s="279"/>
      <c r="AB307" s="279"/>
      <c r="AC307" s="279"/>
      <c r="AD307" s="279"/>
      <c r="AE307" s="279"/>
      <c r="AF307" s="279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80"/>
      <c r="AR307" s="280"/>
      <c r="AS307" s="280"/>
      <c r="AT307" s="280"/>
    </row>
    <row r="308" ht="14.2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78"/>
      <c r="U308" s="278"/>
      <c r="V308" s="279"/>
      <c r="W308" s="279"/>
      <c r="X308" s="279"/>
      <c r="Y308" s="279"/>
      <c r="Z308" s="279"/>
      <c r="AA308" s="279"/>
      <c r="AB308" s="279"/>
      <c r="AC308" s="279"/>
      <c r="AD308" s="279"/>
      <c r="AE308" s="279"/>
      <c r="AF308" s="279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80"/>
      <c r="AR308" s="280"/>
      <c r="AS308" s="280"/>
      <c r="AT308" s="280"/>
    </row>
    <row r="309" ht="14.2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78"/>
      <c r="U309" s="278"/>
      <c r="V309" s="279"/>
      <c r="W309" s="279"/>
      <c r="X309" s="279"/>
      <c r="Y309" s="279"/>
      <c r="Z309" s="279"/>
      <c r="AA309" s="279"/>
      <c r="AB309" s="279"/>
      <c r="AC309" s="279"/>
      <c r="AD309" s="279"/>
      <c r="AE309" s="279"/>
      <c r="AF309" s="279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80"/>
      <c r="AR309" s="280"/>
      <c r="AS309" s="280"/>
      <c r="AT309" s="280"/>
    </row>
    <row r="310" ht="14.2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78"/>
      <c r="U310" s="278"/>
      <c r="V310" s="279"/>
      <c r="W310" s="279"/>
      <c r="X310" s="279"/>
      <c r="Y310" s="279"/>
      <c r="Z310" s="279"/>
      <c r="AA310" s="279"/>
      <c r="AB310" s="279"/>
      <c r="AC310" s="279"/>
      <c r="AD310" s="279"/>
      <c r="AE310" s="279"/>
      <c r="AF310" s="279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80"/>
      <c r="AR310" s="280"/>
      <c r="AS310" s="280"/>
      <c r="AT310" s="280"/>
    </row>
    <row r="311" ht="14.2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78"/>
      <c r="U311" s="278"/>
      <c r="V311" s="279"/>
      <c r="W311" s="279"/>
      <c r="X311" s="279"/>
      <c r="Y311" s="279"/>
      <c r="Z311" s="279"/>
      <c r="AA311" s="279"/>
      <c r="AB311" s="279"/>
      <c r="AC311" s="279"/>
      <c r="AD311" s="279"/>
      <c r="AE311" s="279"/>
      <c r="AF311" s="279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80"/>
      <c r="AR311" s="280"/>
      <c r="AS311" s="280"/>
      <c r="AT311" s="280"/>
    </row>
    <row r="312" ht="14.2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78"/>
      <c r="U312" s="278"/>
      <c r="V312" s="279"/>
      <c r="W312" s="279"/>
      <c r="X312" s="279"/>
      <c r="Y312" s="279"/>
      <c r="Z312" s="279"/>
      <c r="AA312" s="279"/>
      <c r="AB312" s="279"/>
      <c r="AC312" s="279"/>
      <c r="AD312" s="279"/>
      <c r="AE312" s="279"/>
      <c r="AF312" s="279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80"/>
      <c r="AR312" s="280"/>
      <c r="AS312" s="280"/>
      <c r="AT312" s="280"/>
    </row>
    <row r="313" ht="14.2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78"/>
      <c r="U313" s="278"/>
      <c r="V313" s="279"/>
      <c r="W313" s="279"/>
      <c r="X313" s="279"/>
      <c r="Y313" s="279"/>
      <c r="Z313" s="279"/>
      <c r="AA313" s="279"/>
      <c r="AB313" s="279"/>
      <c r="AC313" s="279"/>
      <c r="AD313" s="279"/>
      <c r="AE313" s="279"/>
      <c r="AF313" s="279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80"/>
      <c r="AR313" s="280"/>
      <c r="AS313" s="280"/>
      <c r="AT313" s="280"/>
    </row>
    <row r="314" ht="14.2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78"/>
      <c r="U314" s="278"/>
      <c r="V314" s="279"/>
      <c r="W314" s="279"/>
      <c r="X314" s="279"/>
      <c r="Y314" s="279"/>
      <c r="Z314" s="279"/>
      <c r="AA314" s="279"/>
      <c r="AB314" s="279"/>
      <c r="AC314" s="279"/>
      <c r="AD314" s="279"/>
      <c r="AE314" s="279"/>
      <c r="AF314" s="279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80"/>
      <c r="AR314" s="280"/>
      <c r="AS314" s="280"/>
      <c r="AT314" s="280"/>
    </row>
    <row r="315" ht="14.2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78"/>
      <c r="U315" s="278"/>
      <c r="V315" s="279"/>
      <c r="W315" s="279"/>
      <c r="X315" s="279"/>
      <c r="Y315" s="279"/>
      <c r="Z315" s="279"/>
      <c r="AA315" s="279"/>
      <c r="AB315" s="279"/>
      <c r="AC315" s="279"/>
      <c r="AD315" s="279"/>
      <c r="AE315" s="279"/>
      <c r="AF315" s="279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80"/>
      <c r="AR315" s="280"/>
      <c r="AS315" s="280"/>
      <c r="AT315" s="280"/>
    </row>
    <row r="316" ht="14.2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78"/>
      <c r="U316" s="278"/>
      <c r="V316" s="279"/>
      <c r="W316" s="279"/>
      <c r="X316" s="279"/>
      <c r="Y316" s="279"/>
      <c r="Z316" s="279"/>
      <c r="AA316" s="279"/>
      <c r="AB316" s="279"/>
      <c r="AC316" s="279"/>
      <c r="AD316" s="279"/>
      <c r="AE316" s="279"/>
      <c r="AF316" s="279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80"/>
      <c r="AR316" s="280"/>
      <c r="AS316" s="280"/>
      <c r="AT316" s="280"/>
    </row>
    <row r="317" ht="14.2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78"/>
      <c r="U317" s="278"/>
      <c r="V317" s="279"/>
      <c r="W317" s="279"/>
      <c r="X317" s="279"/>
      <c r="Y317" s="279"/>
      <c r="Z317" s="279"/>
      <c r="AA317" s="279"/>
      <c r="AB317" s="279"/>
      <c r="AC317" s="279"/>
      <c r="AD317" s="279"/>
      <c r="AE317" s="279"/>
      <c r="AF317" s="279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80"/>
      <c r="AR317" s="280"/>
      <c r="AS317" s="280"/>
      <c r="AT317" s="280"/>
    </row>
    <row r="318" ht="14.2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78"/>
      <c r="U318" s="278"/>
      <c r="V318" s="279"/>
      <c r="W318" s="279"/>
      <c r="X318" s="279"/>
      <c r="Y318" s="279"/>
      <c r="Z318" s="279"/>
      <c r="AA318" s="279"/>
      <c r="AB318" s="279"/>
      <c r="AC318" s="279"/>
      <c r="AD318" s="279"/>
      <c r="AE318" s="279"/>
      <c r="AF318" s="279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80"/>
      <c r="AR318" s="280"/>
      <c r="AS318" s="280"/>
      <c r="AT318" s="280"/>
    </row>
    <row r="319" ht="14.2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78"/>
      <c r="U319" s="278"/>
      <c r="V319" s="279"/>
      <c r="W319" s="279"/>
      <c r="X319" s="279"/>
      <c r="Y319" s="279"/>
      <c r="Z319" s="279"/>
      <c r="AA319" s="279"/>
      <c r="AB319" s="279"/>
      <c r="AC319" s="279"/>
      <c r="AD319" s="279"/>
      <c r="AE319" s="279"/>
      <c r="AF319" s="279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80"/>
      <c r="AR319" s="280"/>
      <c r="AS319" s="280"/>
      <c r="AT319" s="280"/>
    </row>
    <row r="320" ht="14.2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78"/>
      <c r="U320" s="278"/>
      <c r="V320" s="279"/>
      <c r="W320" s="279"/>
      <c r="X320" s="279"/>
      <c r="Y320" s="279"/>
      <c r="Z320" s="279"/>
      <c r="AA320" s="279"/>
      <c r="AB320" s="279"/>
      <c r="AC320" s="279"/>
      <c r="AD320" s="279"/>
      <c r="AE320" s="279"/>
      <c r="AF320" s="279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80"/>
      <c r="AR320" s="280"/>
      <c r="AS320" s="280"/>
      <c r="AT320" s="280"/>
    </row>
    <row r="321" ht="14.2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78"/>
      <c r="U321" s="278"/>
      <c r="V321" s="279"/>
      <c r="W321" s="279"/>
      <c r="X321" s="279"/>
      <c r="Y321" s="279"/>
      <c r="Z321" s="279"/>
      <c r="AA321" s="279"/>
      <c r="AB321" s="279"/>
      <c r="AC321" s="279"/>
      <c r="AD321" s="279"/>
      <c r="AE321" s="279"/>
      <c r="AF321" s="279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80"/>
      <c r="AR321" s="280"/>
      <c r="AS321" s="280"/>
      <c r="AT321" s="280"/>
    </row>
    <row r="322" ht="14.2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78"/>
      <c r="U322" s="278"/>
      <c r="V322" s="279"/>
      <c r="W322" s="279"/>
      <c r="X322" s="279"/>
      <c r="Y322" s="279"/>
      <c r="Z322" s="279"/>
      <c r="AA322" s="279"/>
      <c r="AB322" s="279"/>
      <c r="AC322" s="279"/>
      <c r="AD322" s="279"/>
      <c r="AE322" s="279"/>
      <c r="AF322" s="279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80"/>
      <c r="AR322" s="280"/>
      <c r="AS322" s="280"/>
      <c r="AT322" s="280"/>
    </row>
    <row r="323" ht="14.2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78"/>
      <c r="U323" s="278"/>
      <c r="V323" s="279"/>
      <c r="W323" s="279"/>
      <c r="X323" s="279"/>
      <c r="Y323" s="279"/>
      <c r="Z323" s="279"/>
      <c r="AA323" s="279"/>
      <c r="AB323" s="279"/>
      <c r="AC323" s="279"/>
      <c r="AD323" s="279"/>
      <c r="AE323" s="279"/>
      <c r="AF323" s="279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80"/>
      <c r="AR323" s="280"/>
      <c r="AS323" s="280"/>
      <c r="AT323" s="280"/>
    </row>
    <row r="324" ht="14.2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78"/>
      <c r="U324" s="278"/>
      <c r="V324" s="279"/>
      <c r="W324" s="279"/>
      <c r="X324" s="279"/>
      <c r="Y324" s="279"/>
      <c r="Z324" s="279"/>
      <c r="AA324" s="279"/>
      <c r="AB324" s="279"/>
      <c r="AC324" s="279"/>
      <c r="AD324" s="279"/>
      <c r="AE324" s="279"/>
      <c r="AF324" s="279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80"/>
      <c r="AR324" s="280"/>
      <c r="AS324" s="280"/>
      <c r="AT324" s="280"/>
    </row>
    <row r="325" ht="14.2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78"/>
      <c r="U325" s="278"/>
      <c r="V325" s="279"/>
      <c r="W325" s="279"/>
      <c r="X325" s="279"/>
      <c r="Y325" s="279"/>
      <c r="Z325" s="279"/>
      <c r="AA325" s="279"/>
      <c r="AB325" s="279"/>
      <c r="AC325" s="279"/>
      <c r="AD325" s="279"/>
      <c r="AE325" s="279"/>
      <c r="AF325" s="279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80"/>
      <c r="AR325" s="280"/>
      <c r="AS325" s="280"/>
      <c r="AT325" s="280"/>
    </row>
    <row r="326" ht="14.2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78"/>
      <c r="U326" s="278"/>
      <c r="V326" s="279"/>
      <c r="W326" s="279"/>
      <c r="X326" s="279"/>
      <c r="Y326" s="279"/>
      <c r="Z326" s="279"/>
      <c r="AA326" s="279"/>
      <c r="AB326" s="279"/>
      <c r="AC326" s="279"/>
      <c r="AD326" s="279"/>
      <c r="AE326" s="279"/>
      <c r="AF326" s="279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80"/>
      <c r="AR326" s="280"/>
      <c r="AS326" s="280"/>
      <c r="AT326" s="280"/>
    </row>
    <row r="327" ht="14.2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78"/>
      <c r="U327" s="278"/>
      <c r="V327" s="279"/>
      <c r="W327" s="279"/>
      <c r="X327" s="279"/>
      <c r="Y327" s="279"/>
      <c r="Z327" s="279"/>
      <c r="AA327" s="279"/>
      <c r="AB327" s="279"/>
      <c r="AC327" s="279"/>
      <c r="AD327" s="279"/>
      <c r="AE327" s="279"/>
      <c r="AF327" s="279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80"/>
      <c r="AR327" s="280"/>
      <c r="AS327" s="280"/>
      <c r="AT327" s="280"/>
    </row>
    <row r="328" ht="14.2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78"/>
      <c r="U328" s="278"/>
      <c r="V328" s="279"/>
      <c r="W328" s="279"/>
      <c r="X328" s="279"/>
      <c r="Y328" s="279"/>
      <c r="Z328" s="279"/>
      <c r="AA328" s="279"/>
      <c r="AB328" s="279"/>
      <c r="AC328" s="279"/>
      <c r="AD328" s="279"/>
      <c r="AE328" s="279"/>
      <c r="AF328" s="279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80"/>
      <c r="AR328" s="280"/>
      <c r="AS328" s="280"/>
      <c r="AT328" s="280"/>
    </row>
    <row r="329" ht="14.2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78"/>
      <c r="U329" s="278"/>
      <c r="V329" s="279"/>
      <c r="W329" s="279"/>
      <c r="X329" s="279"/>
      <c r="Y329" s="279"/>
      <c r="Z329" s="279"/>
      <c r="AA329" s="279"/>
      <c r="AB329" s="279"/>
      <c r="AC329" s="279"/>
      <c r="AD329" s="279"/>
      <c r="AE329" s="279"/>
      <c r="AF329" s="279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80"/>
      <c r="AR329" s="280"/>
      <c r="AS329" s="280"/>
      <c r="AT329" s="280"/>
    </row>
    <row r="330" ht="14.2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78"/>
      <c r="U330" s="278"/>
      <c r="V330" s="279"/>
      <c r="W330" s="279"/>
      <c r="X330" s="279"/>
      <c r="Y330" s="279"/>
      <c r="Z330" s="279"/>
      <c r="AA330" s="279"/>
      <c r="AB330" s="279"/>
      <c r="AC330" s="279"/>
      <c r="AD330" s="279"/>
      <c r="AE330" s="279"/>
      <c r="AF330" s="279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80"/>
      <c r="AR330" s="280"/>
      <c r="AS330" s="280"/>
      <c r="AT330" s="280"/>
    </row>
    <row r="331" ht="14.2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78"/>
      <c r="U331" s="278"/>
      <c r="V331" s="279"/>
      <c r="W331" s="279"/>
      <c r="X331" s="279"/>
      <c r="Y331" s="279"/>
      <c r="Z331" s="279"/>
      <c r="AA331" s="279"/>
      <c r="AB331" s="279"/>
      <c r="AC331" s="279"/>
      <c r="AD331" s="279"/>
      <c r="AE331" s="279"/>
      <c r="AF331" s="279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80"/>
      <c r="AR331" s="280"/>
      <c r="AS331" s="280"/>
      <c r="AT331" s="280"/>
    </row>
    <row r="332" ht="14.2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78"/>
      <c r="U332" s="278"/>
      <c r="V332" s="279"/>
      <c r="W332" s="279"/>
      <c r="X332" s="279"/>
      <c r="Y332" s="279"/>
      <c r="Z332" s="279"/>
      <c r="AA332" s="279"/>
      <c r="AB332" s="279"/>
      <c r="AC332" s="279"/>
      <c r="AD332" s="279"/>
      <c r="AE332" s="279"/>
      <c r="AF332" s="279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80"/>
      <c r="AR332" s="280"/>
      <c r="AS332" s="280"/>
      <c r="AT332" s="280"/>
    </row>
    <row r="333" ht="14.2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78"/>
      <c r="U333" s="278"/>
      <c r="V333" s="279"/>
      <c r="W333" s="279"/>
      <c r="X333" s="279"/>
      <c r="Y333" s="279"/>
      <c r="Z333" s="279"/>
      <c r="AA333" s="279"/>
      <c r="AB333" s="279"/>
      <c r="AC333" s="279"/>
      <c r="AD333" s="279"/>
      <c r="AE333" s="279"/>
      <c r="AF333" s="279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80"/>
      <c r="AR333" s="280"/>
      <c r="AS333" s="280"/>
      <c r="AT333" s="280"/>
    </row>
    <row r="334" ht="14.2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78"/>
      <c r="U334" s="278"/>
      <c r="V334" s="279"/>
      <c r="W334" s="279"/>
      <c r="X334" s="279"/>
      <c r="Y334" s="279"/>
      <c r="Z334" s="279"/>
      <c r="AA334" s="279"/>
      <c r="AB334" s="279"/>
      <c r="AC334" s="279"/>
      <c r="AD334" s="279"/>
      <c r="AE334" s="279"/>
      <c r="AF334" s="279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80"/>
      <c r="AR334" s="280"/>
      <c r="AS334" s="280"/>
      <c r="AT334" s="280"/>
    </row>
    <row r="335" ht="14.2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78"/>
      <c r="U335" s="278"/>
      <c r="V335" s="279"/>
      <c r="W335" s="279"/>
      <c r="X335" s="279"/>
      <c r="Y335" s="279"/>
      <c r="Z335" s="279"/>
      <c r="AA335" s="279"/>
      <c r="AB335" s="279"/>
      <c r="AC335" s="279"/>
      <c r="AD335" s="279"/>
      <c r="AE335" s="279"/>
      <c r="AF335" s="279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80"/>
      <c r="AR335" s="280"/>
      <c r="AS335" s="280"/>
      <c r="AT335" s="280"/>
    </row>
    <row r="336" ht="14.2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78"/>
      <c r="U336" s="278"/>
      <c r="V336" s="279"/>
      <c r="W336" s="279"/>
      <c r="X336" s="279"/>
      <c r="Y336" s="279"/>
      <c r="Z336" s="279"/>
      <c r="AA336" s="279"/>
      <c r="AB336" s="279"/>
      <c r="AC336" s="279"/>
      <c r="AD336" s="279"/>
      <c r="AE336" s="279"/>
      <c r="AF336" s="279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80"/>
      <c r="AR336" s="280"/>
      <c r="AS336" s="280"/>
      <c r="AT336" s="280"/>
    </row>
    <row r="337" ht="14.2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78"/>
      <c r="U337" s="278"/>
      <c r="V337" s="279"/>
      <c r="W337" s="279"/>
      <c r="X337" s="279"/>
      <c r="Y337" s="279"/>
      <c r="Z337" s="279"/>
      <c r="AA337" s="279"/>
      <c r="AB337" s="279"/>
      <c r="AC337" s="279"/>
      <c r="AD337" s="279"/>
      <c r="AE337" s="279"/>
      <c r="AF337" s="279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80"/>
      <c r="AR337" s="280"/>
      <c r="AS337" s="280"/>
      <c r="AT337" s="280"/>
    </row>
    <row r="338" ht="14.2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78"/>
      <c r="U338" s="278"/>
      <c r="V338" s="279"/>
      <c r="W338" s="279"/>
      <c r="X338" s="279"/>
      <c r="Y338" s="279"/>
      <c r="Z338" s="279"/>
      <c r="AA338" s="279"/>
      <c r="AB338" s="279"/>
      <c r="AC338" s="279"/>
      <c r="AD338" s="279"/>
      <c r="AE338" s="279"/>
      <c r="AF338" s="279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80"/>
      <c r="AR338" s="280"/>
      <c r="AS338" s="280"/>
      <c r="AT338" s="280"/>
    </row>
    <row r="339" ht="14.2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78"/>
      <c r="U339" s="278"/>
      <c r="V339" s="279"/>
      <c r="W339" s="279"/>
      <c r="X339" s="279"/>
      <c r="Y339" s="279"/>
      <c r="Z339" s="279"/>
      <c r="AA339" s="279"/>
      <c r="AB339" s="279"/>
      <c r="AC339" s="279"/>
      <c r="AD339" s="279"/>
      <c r="AE339" s="279"/>
      <c r="AF339" s="279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80"/>
      <c r="AR339" s="280"/>
      <c r="AS339" s="280"/>
      <c r="AT339" s="280"/>
    </row>
    <row r="340" ht="14.2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78"/>
      <c r="U340" s="278"/>
      <c r="V340" s="279"/>
      <c r="W340" s="279"/>
      <c r="X340" s="279"/>
      <c r="Y340" s="279"/>
      <c r="Z340" s="279"/>
      <c r="AA340" s="279"/>
      <c r="AB340" s="279"/>
      <c r="AC340" s="279"/>
      <c r="AD340" s="279"/>
      <c r="AE340" s="279"/>
      <c r="AF340" s="279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80"/>
      <c r="AR340" s="280"/>
      <c r="AS340" s="280"/>
      <c r="AT340" s="280"/>
    </row>
    <row r="341" ht="14.2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78"/>
      <c r="U341" s="278"/>
      <c r="V341" s="279"/>
      <c r="W341" s="279"/>
      <c r="X341" s="279"/>
      <c r="Y341" s="279"/>
      <c r="Z341" s="279"/>
      <c r="AA341" s="279"/>
      <c r="AB341" s="279"/>
      <c r="AC341" s="279"/>
      <c r="AD341" s="279"/>
      <c r="AE341" s="279"/>
      <c r="AF341" s="279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80"/>
      <c r="AR341" s="280"/>
      <c r="AS341" s="280"/>
      <c r="AT341" s="280"/>
    </row>
    <row r="342" ht="14.2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78"/>
      <c r="U342" s="278"/>
      <c r="V342" s="279"/>
      <c r="W342" s="279"/>
      <c r="X342" s="279"/>
      <c r="Y342" s="279"/>
      <c r="Z342" s="279"/>
      <c r="AA342" s="279"/>
      <c r="AB342" s="279"/>
      <c r="AC342" s="279"/>
      <c r="AD342" s="279"/>
      <c r="AE342" s="279"/>
      <c r="AF342" s="279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80"/>
      <c r="AR342" s="280"/>
      <c r="AS342" s="280"/>
      <c r="AT342" s="280"/>
    </row>
    <row r="343" ht="14.2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78"/>
      <c r="U343" s="278"/>
      <c r="V343" s="279"/>
      <c r="W343" s="279"/>
      <c r="X343" s="279"/>
      <c r="Y343" s="279"/>
      <c r="Z343" s="279"/>
      <c r="AA343" s="279"/>
      <c r="AB343" s="279"/>
      <c r="AC343" s="279"/>
      <c r="AD343" s="279"/>
      <c r="AE343" s="279"/>
      <c r="AF343" s="279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80"/>
      <c r="AR343" s="280"/>
      <c r="AS343" s="280"/>
      <c r="AT343" s="280"/>
    </row>
    <row r="344" ht="14.2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78"/>
      <c r="U344" s="278"/>
      <c r="V344" s="279"/>
      <c r="W344" s="279"/>
      <c r="X344" s="279"/>
      <c r="Y344" s="279"/>
      <c r="Z344" s="279"/>
      <c r="AA344" s="279"/>
      <c r="AB344" s="279"/>
      <c r="AC344" s="279"/>
      <c r="AD344" s="279"/>
      <c r="AE344" s="279"/>
      <c r="AF344" s="279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80"/>
      <c r="AR344" s="280"/>
      <c r="AS344" s="280"/>
      <c r="AT344" s="280"/>
    </row>
    <row r="345" ht="14.2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78"/>
      <c r="U345" s="278"/>
      <c r="V345" s="279"/>
      <c r="W345" s="279"/>
      <c r="X345" s="279"/>
      <c r="Y345" s="279"/>
      <c r="Z345" s="279"/>
      <c r="AA345" s="279"/>
      <c r="AB345" s="279"/>
      <c r="AC345" s="279"/>
      <c r="AD345" s="279"/>
      <c r="AE345" s="279"/>
      <c r="AF345" s="279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80"/>
      <c r="AR345" s="280"/>
      <c r="AS345" s="280"/>
      <c r="AT345" s="280"/>
    </row>
    <row r="346" ht="14.2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78"/>
      <c r="U346" s="278"/>
      <c r="V346" s="279"/>
      <c r="W346" s="279"/>
      <c r="X346" s="279"/>
      <c r="Y346" s="279"/>
      <c r="Z346" s="279"/>
      <c r="AA346" s="279"/>
      <c r="AB346" s="279"/>
      <c r="AC346" s="279"/>
      <c r="AD346" s="279"/>
      <c r="AE346" s="279"/>
      <c r="AF346" s="279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80"/>
      <c r="AR346" s="280"/>
      <c r="AS346" s="280"/>
      <c r="AT346" s="280"/>
    </row>
    <row r="347" ht="14.2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78"/>
      <c r="U347" s="278"/>
      <c r="V347" s="279"/>
      <c r="W347" s="279"/>
      <c r="X347" s="279"/>
      <c r="Y347" s="279"/>
      <c r="Z347" s="279"/>
      <c r="AA347" s="279"/>
      <c r="AB347" s="279"/>
      <c r="AC347" s="279"/>
      <c r="AD347" s="279"/>
      <c r="AE347" s="279"/>
      <c r="AF347" s="279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80"/>
      <c r="AR347" s="280"/>
      <c r="AS347" s="280"/>
      <c r="AT347" s="280"/>
    </row>
    <row r="348" ht="14.2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78"/>
      <c r="U348" s="278"/>
      <c r="V348" s="279"/>
      <c r="W348" s="279"/>
      <c r="X348" s="279"/>
      <c r="Y348" s="279"/>
      <c r="Z348" s="279"/>
      <c r="AA348" s="279"/>
      <c r="AB348" s="279"/>
      <c r="AC348" s="279"/>
      <c r="AD348" s="279"/>
      <c r="AE348" s="279"/>
      <c r="AF348" s="279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80"/>
      <c r="AR348" s="280"/>
      <c r="AS348" s="280"/>
      <c r="AT348" s="280"/>
    </row>
    <row r="349" ht="14.2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78"/>
      <c r="U349" s="278"/>
      <c r="V349" s="279"/>
      <c r="W349" s="279"/>
      <c r="X349" s="279"/>
      <c r="Y349" s="279"/>
      <c r="Z349" s="279"/>
      <c r="AA349" s="279"/>
      <c r="AB349" s="279"/>
      <c r="AC349" s="279"/>
      <c r="AD349" s="279"/>
      <c r="AE349" s="279"/>
      <c r="AF349" s="279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80"/>
      <c r="AR349" s="280"/>
      <c r="AS349" s="280"/>
      <c r="AT349" s="280"/>
    </row>
    <row r="350" ht="14.2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78"/>
      <c r="U350" s="278"/>
      <c r="V350" s="279"/>
      <c r="W350" s="279"/>
      <c r="X350" s="279"/>
      <c r="Y350" s="279"/>
      <c r="Z350" s="279"/>
      <c r="AA350" s="279"/>
      <c r="AB350" s="279"/>
      <c r="AC350" s="279"/>
      <c r="AD350" s="279"/>
      <c r="AE350" s="279"/>
      <c r="AF350" s="279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80"/>
      <c r="AR350" s="280"/>
      <c r="AS350" s="280"/>
      <c r="AT350" s="280"/>
    </row>
    <row r="351" ht="14.2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78"/>
      <c r="U351" s="278"/>
      <c r="V351" s="279"/>
      <c r="W351" s="279"/>
      <c r="X351" s="279"/>
      <c r="Y351" s="279"/>
      <c r="Z351" s="279"/>
      <c r="AA351" s="279"/>
      <c r="AB351" s="279"/>
      <c r="AC351" s="279"/>
      <c r="AD351" s="279"/>
      <c r="AE351" s="279"/>
      <c r="AF351" s="279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80"/>
      <c r="AR351" s="280"/>
      <c r="AS351" s="280"/>
      <c r="AT351" s="280"/>
    </row>
    <row r="352" ht="14.2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78"/>
      <c r="U352" s="278"/>
      <c r="V352" s="279"/>
      <c r="W352" s="279"/>
      <c r="X352" s="279"/>
      <c r="Y352" s="279"/>
      <c r="Z352" s="279"/>
      <c r="AA352" s="279"/>
      <c r="AB352" s="279"/>
      <c r="AC352" s="279"/>
      <c r="AD352" s="279"/>
      <c r="AE352" s="279"/>
      <c r="AF352" s="279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80"/>
      <c r="AR352" s="280"/>
      <c r="AS352" s="280"/>
      <c r="AT352" s="280"/>
    </row>
    <row r="353" ht="14.2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78"/>
      <c r="U353" s="278"/>
      <c r="V353" s="279"/>
      <c r="W353" s="279"/>
      <c r="X353" s="279"/>
      <c r="Y353" s="279"/>
      <c r="Z353" s="279"/>
      <c r="AA353" s="279"/>
      <c r="AB353" s="279"/>
      <c r="AC353" s="279"/>
      <c r="AD353" s="279"/>
      <c r="AE353" s="279"/>
      <c r="AF353" s="279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80"/>
      <c r="AR353" s="280"/>
      <c r="AS353" s="280"/>
      <c r="AT353" s="280"/>
    </row>
    <row r="354" ht="14.2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78"/>
      <c r="U354" s="278"/>
      <c r="V354" s="279"/>
      <c r="W354" s="279"/>
      <c r="X354" s="279"/>
      <c r="Y354" s="279"/>
      <c r="Z354" s="279"/>
      <c r="AA354" s="279"/>
      <c r="AB354" s="279"/>
      <c r="AC354" s="279"/>
      <c r="AD354" s="279"/>
      <c r="AE354" s="279"/>
      <c r="AF354" s="279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80"/>
      <c r="AR354" s="280"/>
      <c r="AS354" s="280"/>
      <c r="AT354" s="280"/>
    </row>
    <row r="355" ht="14.2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78"/>
      <c r="U355" s="278"/>
      <c r="V355" s="279"/>
      <c r="W355" s="279"/>
      <c r="X355" s="279"/>
      <c r="Y355" s="279"/>
      <c r="Z355" s="279"/>
      <c r="AA355" s="279"/>
      <c r="AB355" s="279"/>
      <c r="AC355" s="279"/>
      <c r="AD355" s="279"/>
      <c r="AE355" s="279"/>
      <c r="AF355" s="279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80"/>
      <c r="AR355" s="280"/>
      <c r="AS355" s="280"/>
      <c r="AT355" s="280"/>
    </row>
    <row r="356" ht="14.2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78"/>
      <c r="U356" s="278"/>
      <c r="V356" s="279"/>
      <c r="W356" s="279"/>
      <c r="X356" s="279"/>
      <c r="Y356" s="279"/>
      <c r="Z356" s="279"/>
      <c r="AA356" s="279"/>
      <c r="AB356" s="279"/>
      <c r="AC356" s="279"/>
      <c r="AD356" s="279"/>
      <c r="AE356" s="279"/>
      <c r="AF356" s="279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80"/>
      <c r="AR356" s="280"/>
      <c r="AS356" s="280"/>
      <c r="AT356" s="280"/>
    </row>
    <row r="357" ht="14.2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78"/>
      <c r="U357" s="278"/>
      <c r="V357" s="279"/>
      <c r="W357" s="279"/>
      <c r="X357" s="279"/>
      <c r="Y357" s="279"/>
      <c r="Z357" s="279"/>
      <c r="AA357" s="279"/>
      <c r="AB357" s="279"/>
      <c r="AC357" s="279"/>
      <c r="AD357" s="279"/>
      <c r="AE357" s="279"/>
      <c r="AF357" s="279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80"/>
      <c r="AR357" s="280"/>
      <c r="AS357" s="280"/>
      <c r="AT357" s="280"/>
    </row>
    <row r="358" ht="14.2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78"/>
      <c r="U358" s="278"/>
      <c r="V358" s="279"/>
      <c r="W358" s="279"/>
      <c r="X358" s="279"/>
      <c r="Y358" s="279"/>
      <c r="Z358" s="279"/>
      <c r="AA358" s="279"/>
      <c r="AB358" s="279"/>
      <c r="AC358" s="279"/>
      <c r="AD358" s="279"/>
      <c r="AE358" s="279"/>
      <c r="AF358" s="279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80"/>
      <c r="AR358" s="280"/>
      <c r="AS358" s="280"/>
      <c r="AT358" s="280"/>
    </row>
    <row r="359" ht="14.2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78"/>
      <c r="U359" s="278"/>
      <c r="V359" s="279"/>
      <c r="W359" s="279"/>
      <c r="X359" s="279"/>
      <c r="Y359" s="279"/>
      <c r="Z359" s="279"/>
      <c r="AA359" s="279"/>
      <c r="AB359" s="279"/>
      <c r="AC359" s="279"/>
      <c r="AD359" s="279"/>
      <c r="AE359" s="279"/>
      <c r="AF359" s="279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80"/>
      <c r="AR359" s="280"/>
      <c r="AS359" s="280"/>
      <c r="AT359" s="280"/>
    </row>
    <row r="360" ht="14.2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78"/>
      <c r="U360" s="278"/>
      <c r="V360" s="279"/>
      <c r="W360" s="279"/>
      <c r="X360" s="279"/>
      <c r="Y360" s="279"/>
      <c r="Z360" s="279"/>
      <c r="AA360" s="279"/>
      <c r="AB360" s="279"/>
      <c r="AC360" s="279"/>
      <c r="AD360" s="279"/>
      <c r="AE360" s="279"/>
      <c r="AF360" s="279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80"/>
      <c r="AR360" s="280"/>
      <c r="AS360" s="280"/>
      <c r="AT360" s="280"/>
    </row>
    <row r="361" ht="14.2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78"/>
      <c r="U361" s="278"/>
      <c r="V361" s="279"/>
      <c r="W361" s="279"/>
      <c r="X361" s="279"/>
      <c r="Y361" s="279"/>
      <c r="Z361" s="279"/>
      <c r="AA361" s="279"/>
      <c r="AB361" s="279"/>
      <c r="AC361" s="279"/>
      <c r="AD361" s="279"/>
      <c r="AE361" s="279"/>
      <c r="AF361" s="279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80"/>
      <c r="AR361" s="280"/>
      <c r="AS361" s="280"/>
      <c r="AT361" s="280"/>
    </row>
    <row r="362" ht="14.2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78"/>
      <c r="U362" s="278"/>
      <c r="V362" s="279"/>
      <c r="W362" s="279"/>
      <c r="X362" s="279"/>
      <c r="Y362" s="279"/>
      <c r="Z362" s="279"/>
      <c r="AA362" s="279"/>
      <c r="AB362" s="279"/>
      <c r="AC362" s="279"/>
      <c r="AD362" s="279"/>
      <c r="AE362" s="279"/>
      <c r="AF362" s="279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80"/>
      <c r="AR362" s="280"/>
      <c r="AS362" s="280"/>
      <c r="AT362" s="280"/>
    </row>
    <row r="363" ht="14.2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78"/>
      <c r="U363" s="278"/>
      <c r="V363" s="279"/>
      <c r="W363" s="279"/>
      <c r="X363" s="279"/>
      <c r="Y363" s="279"/>
      <c r="Z363" s="279"/>
      <c r="AA363" s="279"/>
      <c r="AB363" s="279"/>
      <c r="AC363" s="279"/>
      <c r="AD363" s="279"/>
      <c r="AE363" s="279"/>
      <c r="AF363" s="279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80"/>
      <c r="AR363" s="280"/>
      <c r="AS363" s="280"/>
      <c r="AT363" s="280"/>
    </row>
    <row r="364" ht="14.2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78"/>
      <c r="U364" s="278"/>
      <c r="V364" s="279"/>
      <c r="W364" s="279"/>
      <c r="X364" s="279"/>
      <c r="Y364" s="279"/>
      <c r="Z364" s="279"/>
      <c r="AA364" s="279"/>
      <c r="AB364" s="279"/>
      <c r="AC364" s="279"/>
      <c r="AD364" s="279"/>
      <c r="AE364" s="279"/>
      <c r="AF364" s="279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80"/>
      <c r="AR364" s="280"/>
      <c r="AS364" s="280"/>
      <c r="AT364" s="280"/>
    </row>
    <row r="365" ht="14.2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78"/>
      <c r="U365" s="278"/>
      <c r="V365" s="279"/>
      <c r="W365" s="279"/>
      <c r="X365" s="279"/>
      <c r="Y365" s="279"/>
      <c r="Z365" s="279"/>
      <c r="AA365" s="279"/>
      <c r="AB365" s="279"/>
      <c r="AC365" s="279"/>
      <c r="AD365" s="279"/>
      <c r="AE365" s="279"/>
      <c r="AF365" s="279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80"/>
      <c r="AR365" s="280"/>
      <c r="AS365" s="280"/>
      <c r="AT365" s="280"/>
    </row>
    <row r="366" ht="14.2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78"/>
      <c r="U366" s="278"/>
      <c r="V366" s="279"/>
      <c r="W366" s="279"/>
      <c r="X366" s="279"/>
      <c r="Y366" s="279"/>
      <c r="Z366" s="279"/>
      <c r="AA366" s="279"/>
      <c r="AB366" s="279"/>
      <c r="AC366" s="279"/>
      <c r="AD366" s="279"/>
      <c r="AE366" s="279"/>
      <c r="AF366" s="279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80"/>
      <c r="AR366" s="280"/>
      <c r="AS366" s="280"/>
      <c r="AT366" s="280"/>
    </row>
    <row r="367" ht="14.2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78"/>
      <c r="U367" s="278"/>
      <c r="V367" s="279"/>
      <c r="W367" s="279"/>
      <c r="X367" s="279"/>
      <c r="Y367" s="279"/>
      <c r="Z367" s="279"/>
      <c r="AA367" s="279"/>
      <c r="AB367" s="279"/>
      <c r="AC367" s="279"/>
      <c r="AD367" s="279"/>
      <c r="AE367" s="279"/>
      <c r="AF367" s="279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80"/>
      <c r="AR367" s="280"/>
      <c r="AS367" s="280"/>
      <c r="AT367" s="280"/>
    </row>
    <row r="368" ht="14.2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78"/>
      <c r="U368" s="278"/>
      <c r="V368" s="279"/>
      <c r="W368" s="279"/>
      <c r="X368" s="279"/>
      <c r="Y368" s="279"/>
      <c r="Z368" s="279"/>
      <c r="AA368" s="279"/>
      <c r="AB368" s="279"/>
      <c r="AC368" s="279"/>
      <c r="AD368" s="279"/>
      <c r="AE368" s="279"/>
      <c r="AF368" s="279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80"/>
      <c r="AR368" s="280"/>
      <c r="AS368" s="280"/>
      <c r="AT368" s="280"/>
    </row>
    <row r="369" ht="14.2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78"/>
      <c r="U369" s="278"/>
      <c r="V369" s="279"/>
      <c r="W369" s="279"/>
      <c r="X369" s="279"/>
      <c r="Y369" s="279"/>
      <c r="Z369" s="279"/>
      <c r="AA369" s="279"/>
      <c r="AB369" s="279"/>
      <c r="AC369" s="279"/>
      <c r="AD369" s="279"/>
      <c r="AE369" s="279"/>
      <c r="AF369" s="279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80"/>
      <c r="AR369" s="280"/>
      <c r="AS369" s="280"/>
      <c r="AT369" s="280"/>
    </row>
    <row r="370" ht="14.2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78"/>
      <c r="U370" s="278"/>
      <c r="V370" s="279"/>
      <c r="W370" s="279"/>
      <c r="X370" s="279"/>
      <c r="Y370" s="279"/>
      <c r="Z370" s="279"/>
      <c r="AA370" s="279"/>
      <c r="AB370" s="279"/>
      <c r="AC370" s="279"/>
      <c r="AD370" s="279"/>
      <c r="AE370" s="279"/>
      <c r="AF370" s="279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80"/>
      <c r="AR370" s="280"/>
      <c r="AS370" s="280"/>
      <c r="AT370" s="280"/>
    </row>
    <row r="371" ht="14.2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78"/>
      <c r="U371" s="278"/>
      <c r="V371" s="279"/>
      <c r="W371" s="279"/>
      <c r="X371" s="279"/>
      <c r="Y371" s="279"/>
      <c r="Z371" s="279"/>
      <c r="AA371" s="279"/>
      <c r="AB371" s="279"/>
      <c r="AC371" s="279"/>
      <c r="AD371" s="279"/>
      <c r="AE371" s="279"/>
      <c r="AF371" s="279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80"/>
      <c r="AR371" s="280"/>
      <c r="AS371" s="280"/>
      <c r="AT371" s="280"/>
    </row>
    <row r="372" ht="14.2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78"/>
      <c r="U372" s="278"/>
      <c r="V372" s="279"/>
      <c r="W372" s="279"/>
      <c r="X372" s="279"/>
      <c r="Y372" s="279"/>
      <c r="Z372" s="279"/>
      <c r="AA372" s="279"/>
      <c r="AB372" s="279"/>
      <c r="AC372" s="279"/>
      <c r="AD372" s="279"/>
      <c r="AE372" s="279"/>
      <c r="AF372" s="279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80"/>
      <c r="AR372" s="280"/>
      <c r="AS372" s="280"/>
      <c r="AT372" s="280"/>
    </row>
    <row r="373" ht="14.2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78"/>
      <c r="U373" s="278"/>
      <c r="V373" s="279"/>
      <c r="W373" s="279"/>
      <c r="X373" s="279"/>
      <c r="Y373" s="279"/>
      <c r="Z373" s="279"/>
      <c r="AA373" s="279"/>
      <c r="AB373" s="279"/>
      <c r="AC373" s="279"/>
      <c r="AD373" s="279"/>
      <c r="AE373" s="279"/>
      <c r="AF373" s="279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80"/>
      <c r="AR373" s="280"/>
      <c r="AS373" s="280"/>
      <c r="AT373" s="280"/>
    </row>
    <row r="374" ht="14.2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78"/>
      <c r="U374" s="278"/>
      <c r="V374" s="279"/>
      <c r="W374" s="279"/>
      <c r="X374" s="279"/>
      <c r="Y374" s="279"/>
      <c r="Z374" s="279"/>
      <c r="AA374" s="279"/>
      <c r="AB374" s="279"/>
      <c r="AC374" s="279"/>
      <c r="AD374" s="279"/>
      <c r="AE374" s="279"/>
      <c r="AF374" s="279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80"/>
      <c r="AR374" s="280"/>
      <c r="AS374" s="280"/>
      <c r="AT374" s="280"/>
    </row>
    <row r="375" ht="14.2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78"/>
      <c r="U375" s="278"/>
      <c r="V375" s="279"/>
      <c r="W375" s="279"/>
      <c r="X375" s="279"/>
      <c r="Y375" s="279"/>
      <c r="Z375" s="279"/>
      <c r="AA375" s="279"/>
      <c r="AB375" s="279"/>
      <c r="AC375" s="279"/>
      <c r="AD375" s="279"/>
      <c r="AE375" s="279"/>
      <c r="AF375" s="279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80"/>
      <c r="AR375" s="280"/>
      <c r="AS375" s="280"/>
      <c r="AT375" s="280"/>
    </row>
    <row r="376" ht="14.2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78"/>
      <c r="U376" s="278"/>
      <c r="V376" s="279"/>
      <c r="W376" s="279"/>
      <c r="X376" s="279"/>
      <c r="Y376" s="279"/>
      <c r="Z376" s="279"/>
      <c r="AA376" s="279"/>
      <c r="AB376" s="279"/>
      <c r="AC376" s="279"/>
      <c r="AD376" s="279"/>
      <c r="AE376" s="279"/>
      <c r="AF376" s="279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80"/>
      <c r="AR376" s="280"/>
      <c r="AS376" s="280"/>
      <c r="AT376" s="280"/>
    </row>
    <row r="377" ht="14.2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78"/>
      <c r="U377" s="278"/>
      <c r="V377" s="279"/>
      <c r="W377" s="279"/>
      <c r="X377" s="279"/>
      <c r="Y377" s="279"/>
      <c r="Z377" s="279"/>
      <c r="AA377" s="279"/>
      <c r="AB377" s="279"/>
      <c r="AC377" s="279"/>
      <c r="AD377" s="279"/>
      <c r="AE377" s="279"/>
      <c r="AF377" s="279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80"/>
      <c r="AR377" s="280"/>
      <c r="AS377" s="280"/>
      <c r="AT377" s="280"/>
    </row>
    <row r="378" ht="14.2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78"/>
      <c r="U378" s="278"/>
      <c r="V378" s="279"/>
      <c r="W378" s="279"/>
      <c r="X378" s="279"/>
      <c r="Y378" s="279"/>
      <c r="Z378" s="279"/>
      <c r="AA378" s="279"/>
      <c r="AB378" s="279"/>
      <c r="AC378" s="279"/>
      <c r="AD378" s="279"/>
      <c r="AE378" s="279"/>
      <c r="AF378" s="279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80"/>
      <c r="AR378" s="280"/>
      <c r="AS378" s="280"/>
      <c r="AT378" s="280"/>
    </row>
    <row r="379" ht="14.2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78"/>
      <c r="U379" s="278"/>
      <c r="V379" s="279"/>
      <c r="W379" s="279"/>
      <c r="X379" s="279"/>
      <c r="Y379" s="279"/>
      <c r="Z379" s="279"/>
      <c r="AA379" s="279"/>
      <c r="AB379" s="279"/>
      <c r="AC379" s="279"/>
      <c r="AD379" s="279"/>
      <c r="AE379" s="279"/>
      <c r="AF379" s="279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80"/>
      <c r="AR379" s="280"/>
      <c r="AS379" s="280"/>
      <c r="AT379" s="280"/>
    </row>
    <row r="380" ht="14.2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78"/>
      <c r="U380" s="278"/>
      <c r="V380" s="279"/>
      <c r="W380" s="279"/>
      <c r="X380" s="279"/>
      <c r="Y380" s="279"/>
      <c r="Z380" s="279"/>
      <c r="AA380" s="279"/>
      <c r="AB380" s="279"/>
      <c r="AC380" s="279"/>
      <c r="AD380" s="279"/>
      <c r="AE380" s="279"/>
      <c r="AF380" s="279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80"/>
      <c r="AR380" s="280"/>
      <c r="AS380" s="280"/>
      <c r="AT380" s="280"/>
    </row>
    <row r="381" ht="14.2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78"/>
      <c r="U381" s="278"/>
      <c r="V381" s="279"/>
      <c r="W381" s="279"/>
      <c r="X381" s="279"/>
      <c r="Y381" s="279"/>
      <c r="Z381" s="279"/>
      <c r="AA381" s="279"/>
      <c r="AB381" s="279"/>
      <c r="AC381" s="279"/>
      <c r="AD381" s="279"/>
      <c r="AE381" s="279"/>
      <c r="AF381" s="279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80"/>
      <c r="AR381" s="280"/>
      <c r="AS381" s="280"/>
      <c r="AT381" s="280"/>
    </row>
    <row r="382" ht="14.2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78"/>
      <c r="U382" s="278"/>
      <c r="V382" s="279"/>
      <c r="W382" s="279"/>
      <c r="X382" s="279"/>
      <c r="Y382" s="279"/>
      <c r="Z382" s="279"/>
      <c r="AA382" s="279"/>
      <c r="AB382" s="279"/>
      <c r="AC382" s="279"/>
      <c r="AD382" s="279"/>
      <c r="AE382" s="279"/>
      <c r="AF382" s="279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80"/>
      <c r="AR382" s="280"/>
      <c r="AS382" s="280"/>
      <c r="AT382" s="280"/>
    </row>
    <row r="383" ht="14.2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78"/>
      <c r="U383" s="278"/>
      <c r="V383" s="279"/>
      <c r="W383" s="279"/>
      <c r="X383" s="279"/>
      <c r="Y383" s="279"/>
      <c r="Z383" s="279"/>
      <c r="AA383" s="279"/>
      <c r="AB383" s="279"/>
      <c r="AC383" s="279"/>
      <c r="AD383" s="279"/>
      <c r="AE383" s="279"/>
      <c r="AF383" s="279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80"/>
      <c r="AR383" s="280"/>
      <c r="AS383" s="280"/>
      <c r="AT383" s="280"/>
    </row>
    <row r="384" ht="14.2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78"/>
      <c r="U384" s="278"/>
      <c r="V384" s="279"/>
      <c r="W384" s="279"/>
      <c r="X384" s="279"/>
      <c r="Y384" s="279"/>
      <c r="Z384" s="279"/>
      <c r="AA384" s="279"/>
      <c r="AB384" s="279"/>
      <c r="AC384" s="279"/>
      <c r="AD384" s="279"/>
      <c r="AE384" s="279"/>
      <c r="AF384" s="279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80"/>
      <c r="AR384" s="280"/>
      <c r="AS384" s="280"/>
      <c r="AT384" s="280"/>
    </row>
    <row r="385" ht="14.2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78"/>
      <c r="U385" s="278"/>
      <c r="V385" s="279"/>
      <c r="W385" s="279"/>
      <c r="X385" s="279"/>
      <c r="Y385" s="279"/>
      <c r="Z385" s="279"/>
      <c r="AA385" s="279"/>
      <c r="AB385" s="279"/>
      <c r="AC385" s="279"/>
      <c r="AD385" s="279"/>
      <c r="AE385" s="279"/>
      <c r="AF385" s="279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80"/>
      <c r="AR385" s="280"/>
      <c r="AS385" s="280"/>
      <c r="AT385" s="280"/>
    </row>
    <row r="386" ht="14.2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78"/>
      <c r="U386" s="278"/>
      <c r="V386" s="279"/>
      <c r="W386" s="279"/>
      <c r="X386" s="279"/>
      <c r="Y386" s="279"/>
      <c r="Z386" s="279"/>
      <c r="AA386" s="279"/>
      <c r="AB386" s="279"/>
      <c r="AC386" s="279"/>
      <c r="AD386" s="279"/>
      <c r="AE386" s="279"/>
      <c r="AF386" s="279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80"/>
      <c r="AR386" s="280"/>
      <c r="AS386" s="280"/>
      <c r="AT386" s="280"/>
    </row>
    <row r="387" ht="14.2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78"/>
      <c r="U387" s="278"/>
      <c r="V387" s="279"/>
      <c r="W387" s="279"/>
      <c r="X387" s="279"/>
      <c r="Y387" s="279"/>
      <c r="Z387" s="279"/>
      <c r="AA387" s="279"/>
      <c r="AB387" s="279"/>
      <c r="AC387" s="279"/>
      <c r="AD387" s="279"/>
      <c r="AE387" s="279"/>
      <c r="AF387" s="279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80"/>
      <c r="AR387" s="280"/>
      <c r="AS387" s="280"/>
      <c r="AT387" s="280"/>
    </row>
    <row r="388" ht="14.2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78"/>
      <c r="U388" s="278"/>
      <c r="V388" s="279"/>
      <c r="W388" s="279"/>
      <c r="X388" s="279"/>
      <c r="Y388" s="279"/>
      <c r="Z388" s="279"/>
      <c r="AA388" s="279"/>
      <c r="AB388" s="279"/>
      <c r="AC388" s="279"/>
      <c r="AD388" s="279"/>
      <c r="AE388" s="279"/>
      <c r="AF388" s="279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80"/>
      <c r="AR388" s="280"/>
      <c r="AS388" s="280"/>
      <c r="AT388" s="280"/>
    </row>
    <row r="389" ht="14.2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78"/>
      <c r="U389" s="278"/>
      <c r="V389" s="279"/>
      <c r="W389" s="279"/>
      <c r="X389" s="279"/>
      <c r="Y389" s="279"/>
      <c r="Z389" s="279"/>
      <c r="AA389" s="279"/>
      <c r="AB389" s="279"/>
      <c r="AC389" s="279"/>
      <c r="AD389" s="279"/>
      <c r="AE389" s="279"/>
      <c r="AF389" s="279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80"/>
      <c r="AR389" s="280"/>
      <c r="AS389" s="280"/>
      <c r="AT389" s="280"/>
    </row>
    <row r="390" ht="14.2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78"/>
      <c r="U390" s="278"/>
      <c r="V390" s="279"/>
      <c r="W390" s="279"/>
      <c r="X390" s="279"/>
      <c r="Y390" s="279"/>
      <c r="Z390" s="279"/>
      <c r="AA390" s="279"/>
      <c r="AB390" s="279"/>
      <c r="AC390" s="279"/>
      <c r="AD390" s="279"/>
      <c r="AE390" s="279"/>
      <c r="AF390" s="279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80"/>
      <c r="AR390" s="280"/>
      <c r="AS390" s="280"/>
      <c r="AT390" s="280"/>
    </row>
    <row r="391" ht="14.2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78"/>
      <c r="U391" s="278"/>
      <c r="V391" s="279"/>
      <c r="W391" s="279"/>
      <c r="X391" s="279"/>
      <c r="Y391" s="279"/>
      <c r="Z391" s="279"/>
      <c r="AA391" s="279"/>
      <c r="AB391" s="279"/>
      <c r="AC391" s="279"/>
      <c r="AD391" s="279"/>
      <c r="AE391" s="279"/>
      <c r="AF391" s="279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80"/>
      <c r="AR391" s="280"/>
      <c r="AS391" s="280"/>
      <c r="AT391" s="280"/>
    </row>
    <row r="392" ht="14.2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78"/>
      <c r="U392" s="278"/>
      <c r="V392" s="279"/>
      <c r="W392" s="279"/>
      <c r="X392" s="279"/>
      <c r="Y392" s="279"/>
      <c r="Z392" s="279"/>
      <c r="AA392" s="279"/>
      <c r="AB392" s="279"/>
      <c r="AC392" s="279"/>
      <c r="AD392" s="279"/>
      <c r="AE392" s="279"/>
      <c r="AF392" s="279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80"/>
      <c r="AR392" s="280"/>
      <c r="AS392" s="280"/>
      <c r="AT392" s="280"/>
    </row>
    <row r="393" ht="14.2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78"/>
      <c r="U393" s="278"/>
      <c r="V393" s="279"/>
      <c r="W393" s="279"/>
      <c r="X393" s="279"/>
      <c r="Y393" s="279"/>
      <c r="Z393" s="279"/>
      <c r="AA393" s="279"/>
      <c r="AB393" s="279"/>
      <c r="AC393" s="279"/>
      <c r="AD393" s="279"/>
      <c r="AE393" s="279"/>
      <c r="AF393" s="279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80"/>
      <c r="AR393" s="280"/>
      <c r="AS393" s="280"/>
      <c r="AT393" s="280"/>
    </row>
    <row r="394" ht="14.2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78"/>
      <c r="U394" s="278"/>
      <c r="V394" s="279"/>
      <c r="W394" s="279"/>
      <c r="X394" s="279"/>
      <c r="Y394" s="279"/>
      <c r="Z394" s="279"/>
      <c r="AA394" s="279"/>
      <c r="AB394" s="279"/>
      <c r="AC394" s="279"/>
      <c r="AD394" s="279"/>
      <c r="AE394" s="279"/>
      <c r="AF394" s="279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80"/>
      <c r="AR394" s="280"/>
      <c r="AS394" s="280"/>
      <c r="AT394" s="280"/>
    </row>
    <row r="395" ht="14.2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78"/>
      <c r="U395" s="278"/>
      <c r="V395" s="279"/>
      <c r="W395" s="279"/>
      <c r="X395" s="279"/>
      <c r="Y395" s="279"/>
      <c r="Z395" s="279"/>
      <c r="AA395" s="279"/>
      <c r="AB395" s="279"/>
      <c r="AC395" s="279"/>
      <c r="AD395" s="279"/>
      <c r="AE395" s="279"/>
      <c r="AF395" s="279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80"/>
      <c r="AR395" s="280"/>
      <c r="AS395" s="280"/>
      <c r="AT395" s="280"/>
    </row>
    <row r="396" ht="14.2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78"/>
      <c r="U396" s="278"/>
      <c r="V396" s="279"/>
      <c r="W396" s="279"/>
      <c r="X396" s="279"/>
      <c r="Y396" s="279"/>
      <c r="Z396" s="279"/>
      <c r="AA396" s="279"/>
      <c r="AB396" s="279"/>
      <c r="AC396" s="279"/>
      <c r="AD396" s="279"/>
      <c r="AE396" s="279"/>
      <c r="AF396" s="279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80"/>
      <c r="AR396" s="280"/>
      <c r="AS396" s="280"/>
      <c r="AT396" s="280"/>
    </row>
    <row r="397" ht="14.2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78"/>
      <c r="U397" s="278"/>
      <c r="V397" s="279"/>
      <c r="W397" s="279"/>
      <c r="X397" s="279"/>
      <c r="Y397" s="279"/>
      <c r="Z397" s="279"/>
      <c r="AA397" s="279"/>
      <c r="AB397" s="279"/>
      <c r="AC397" s="279"/>
      <c r="AD397" s="279"/>
      <c r="AE397" s="279"/>
      <c r="AF397" s="279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80"/>
      <c r="AR397" s="280"/>
      <c r="AS397" s="280"/>
      <c r="AT397" s="280"/>
    </row>
    <row r="398" ht="14.2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78"/>
      <c r="U398" s="278"/>
      <c r="V398" s="279"/>
      <c r="W398" s="279"/>
      <c r="X398" s="279"/>
      <c r="Y398" s="279"/>
      <c r="Z398" s="279"/>
      <c r="AA398" s="279"/>
      <c r="AB398" s="279"/>
      <c r="AC398" s="279"/>
      <c r="AD398" s="279"/>
      <c r="AE398" s="279"/>
      <c r="AF398" s="279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80"/>
      <c r="AR398" s="280"/>
      <c r="AS398" s="280"/>
      <c r="AT398" s="280"/>
    </row>
    <row r="399" ht="14.2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78"/>
      <c r="U399" s="278"/>
      <c r="V399" s="279"/>
      <c r="W399" s="279"/>
      <c r="X399" s="279"/>
      <c r="Y399" s="279"/>
      <c r="Z399" s="279"/>
      <c r="AA399" s="279"/>
      <c r="AB399" s="279"/>
      <c r="AC399" s="279"/>
      <c r="AD399" s="279"/>
      <c r="AE399" s="279"/>
      <c r="AF399" s="279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80"/>
      <c r="AR399" s="280"/>
      <c r="AS399" s="280"/>
      <c r="AT399" s="280"/>
    </row>
    <row r="400" ht="14.2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78"/>
      <c r="U400" s="278"/>
      <c r="V400" s="279"/>
      <c r="W400" s="279"/>
      <c r="X400" s="279"/>
      <c r="Y400" s="279"/>
      <c r="Z400" s="279"/>
      <c r="AA400" s="279"/>
      <c r="AB400" s="279"/>
      <c r="AC400" s="279"/>
      <c r="AD400" s="279"/>
      <c r="AE400" s="279"/>
      <c r="AF400" s="279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80"/>
      <c r="AR400" s="280"/>
      <c r="AS400" s="280"/>
      <c r="AT400" s="280"/>
    </row>
    <row r="401" ht="14.2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78"/>
      <c r="U401" s="278"/>
      <c r="V401" s="279"/>
      <c r="W401" s="279"/>
      <c r="X401" s="279"/>
      <c r="Y401" s="279"/>
      <c r="Z401" s="279"/>
      <c r="AA401" s="279"/>
      <c r="AB401" s="279"/>
      <c r="AC401" s="279"/>
      <c r="AD401" s="279"/>
      <c r="AE401" s="279"/>
      <c r="AF401" s="279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80"/>
      <c r="AR401" s="280"/>
      <c r="AS401" s="280"/>
      <c r="AT401" s="280"/>
    </row>
    <row r="402" ht="14.2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78"/>
      <c r="U402" s="278"/>
      <c r="V402" s="279"/>
      <c r="W402" s="279"/>
      <c r="X402" s="279"/>
      <c r="Y402" s="279"/>
      <c r="Z402" s="279"/>
      <c r="AA402" s="279"/>
      <c r="AB402" s="279"/>
      <c r="AC402" s="279"/>
      <c r="AD402" s="279"/>
      <c r="AE402" s="279"/>
      <c r="AF402" s="279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80"/>
      <c r="AR402" s="280"/>
      <c r="AS402" s="280"/>
      <c r="AT402" s="280"/>
    </row>
    <row r="403" ht="14.2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78"/>
      <c r="U403" s="278"/>
      <c r="V403" s="279"/>
      <c r="W403" s="279"/>
      <c r="X403" s="279"/>
      <c r="Y403" s="279"/>
      <c r="Z403" s="279"/>
      <c r="AA403" s="279"/>
      <c r="AB403" s="279"/>
      <c r="AC403" s="279"/>
      <c r="AD403" s="279"/>
      <c r="AE403" s="279"/>
      <c r="AF403" s="279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80"/>
      <c r="AR403" s="280"/>
      <c r="AS403" s="280"/>
      <c r="AT403" s="280"/>
    </row>
    <row r="404" ht="14.2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78"/>
      <c r="U404" s="278"/>
      <c r="V404" s="279"/>
      <c r="W404" s="279"/>
      <c r="X404" s="279"/>
      <c r="Y404" s="279"/>
      <c r="Z404" s="279"/>
      <c r="AA404" s="279"/>
      <c r="AB404" s="279"/>
      <c r="AC404" s="279"/>
      <c r="AD404" s="279"/>
      <c r="AE404" s="279"/>
      <c r="AF404" s="279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80"/>
      <c r="AR404" s="280"/>
      <c r="AS404" s="280"/>
      <c r="AT404" s="280"/>
    </row>
    <row r="405" ht="14.2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78"/>
      <c r="U405" s="278"/>
      <c r="V405" s="279"/>
      <c r="W405" s="279"/>
      <c r="X405" s="279"/>
      <c r="Y405" s="279"/>
      <c r="Z405" s="279"/>
      <c r="AA405" s="279"/>
      <c r="AB405" s="279"/>
      <c r="AC405" s="279"/>
      <c r="AD405" s="279"/>
      <c r="AE405" s="279"/>
      <c r="AF405" s="279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80"/>
      <c r="AR405" s="280"/>
      <c r="AS405" s="280"/>
      <c r="AT405" s="280"/>
    </row>
    <row r="406" ht="14.2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78"/>
      <c r="U406" s="278"/>
      <c r="V406" s="279"/>
      <c r="W406" s="279"/>
      <c r="X406" s="279"/>
      <c r="Y406" s="279"/>
      <c r="Z406" s="279"/>
      <c r="AA406" s="279"/>
      <c r="AB406" s="279"/>
      <c r="AC406" s="279"/>
      <c r="AD406" s="279"/>
      <c r="AE406" s="279"/>
      <c r="AF406" s="279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80"/>
      <c r="AR406" s="280"/>
      <c r="AS406" s="280"/>
      <c r="AT406" s="280"/>
    </row>
    <row r="407" ht="14.2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78"/>
      <c r="U407" s="278"/>
      <c r="V407" s="279"/>
      <c r="W407" s="279"/>
      <c r="X407" s="279"/>
      <c r="Y407" s="279"/>
      <c r="Z407" s="279"/>
      <c r="AA407" s="279"/>
      <c r="AB407" s="279"/>
      <c r="AC407" s="279"/>
      <c r="AD407" s="279"/>
      <c r="AE407" s="279"/>
      <c r="AF407" s="279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80"/>
      <c r="AR407" s="280"/>
      <c r="AS407" s="280"/>
      <c r="AT407" s="280"/>
    </row>
    <row r="408" ht="14.2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78"/>
      <c r="U408" s="278"/>
      <c r="V408" s="279"/>
      <c r="W408" s="279"/>
      <c r="X408" s="279"/>
      <c r="Y408" s="279"/>
      <c r="Z408" s="279"/>
      <c r="AA408" s="279"/>
      <c r="AB408" s="279"/>
      <c r="AC408" s="279"/>
      <c r="AD408" s="279"/>
      <c r="AE408" s="279"/>
      <c r="AF408" s="279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80"/>
      <c r="AR408" s="280"/>
      <c r="AS408" s="280"/>
      <c r="AT408" s="280"/>
    </row>
    <row r="409" ht="14.2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78"/>
      <c r="U409" s="278"/>
      <c r="V409" s="279"/>
      <c r="W409" s="279"/>
      <c r="X409" s="279"/>
      <c r="Y409" s="279"/>
      <c r="Z409" s="279"/>
      <c r="AA409" s="279"/>
      <c r="AB409" s="279"/>
      <c r="AC409" s="279"/>
      <c r="AD409" s="279"/>
      <c r="AE409" s="279"/>
      <c r="AF409" s="279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80"/>
      <c r="AR409" s="280"/>
      <c r="AS409" s="280"/>
      <c r="AT409" s="280"/>
    </row>
    <row r="410" ht="14.2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78"/>
      <c r="U410" s="278"/>
      <c r="V410" s="279"/>
      <c r="W410" s="279"/>
      <c r="X410" s="279"/>
      <c r="Y410" s="279"/>
      <c r="Z410" s="279"/>
      <c r="AA410" s="279"/>
      <c r="AB410" s="279"/>
      <c r="AC410" s="279"/>
      <c r="AD410" s="279"/>
      <c r="AE410" s="279"/>
      <c r="AF410" s="279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80"/>
      <c r="AR410" s="280"/>
      <c r="AS410" s="280"/>
      <c r="AT410" s="280"/>
    </row>
    <row r="411" ht="14.2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78"/>
      <c r="U411" s="278"/>
      <c r="V411" s="279"/>
      <c r="W411" s="279"/>
      <c r="X411" s="279"/>
      <c r="Y411" s="279"/>
      <c r="Z411" s="279"/>
      <c r="AA411" s="279"/>
      <c r="AB411" s="279"/>
      <c r="AC411" s="279"/>
      <c r="AD411" s="279"/>
      <c r="AE411" s="279"/>
      <c r="AF411" s="279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80"/>
      <c r="AR411" s="280"/>
      <c r="AS411" s="280"/>
      <c r="AT411" s="280"/>
    </row>
    <row r="412" ht="14.2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78"/>
      <c r="U412" s="278"/>
      <c r="V412" s="279"/>
      <c r="W412" s="279"/>
      <c r="X412" s="279"/>
      <c r="Y412" s="279"/>
      <c r="Z412" s="279"/>
      <c r="AA412" s="279"/>
      <c r="AB412" s="279"/>
      <c r="AC412" s="279"/>
      <c r="AD412" s="279"/>
      <c r="AE412" s="279"/>
      <c r="AF412" s="279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80"/>
      <c r="AR412" s="280"/>
      <c r="AS412" s="280"/>
      <c r="AT412" s="280"/>
    </row>
    <row r="413" ht="14.2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78"/>
      <c r="U413" s="278"/>
      <c r="V413" s="279"/>
      <c r="W413" s="279"/>
      <c r="X413" s="279"/>
      <c r="Y413" s="279"/>
      <c r="Z413" s="279"/>
      <c r="AA413" s="279"/>
      <c r="AB413" s="279"/>
      <c r="AC413" s="279"/>
      <c r="AD413" s="279"/>
      <c r="AE413" s="279"/>
      <c r="AF413" s="279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80"/>
      <c r="AR413" s="280"/>
      <c r="AS413" s="280"/>
      <c r="AT413" s="280"/>
    </row>
    <row r="414" ht="14.2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78"/>
      <c r="U414" s="278"/>
      <c r="V414" s="279"/>
      <c r="W414" s="279"/>
      <c r="X414" s="279"/>
      <c r="Y414" s="279"/>
      <c r="Z414" s="279"/>
      <c r="AA414" s="279"/>
      <c r="AB414" s="279"/>
      <c r="AC414" s="279"/>
      <c r="AD414" s="279"/>
      <c r="AE414" s="279"/>
      <c r="AF414" s="279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80"/>
      <c r="AR414" s="280"/>
      <c r="AS414" s="280"/>
      <c r="AT414" s="280"/>
    </row>
    <row r="415" ht="14.2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78"/>
      <c r="U415" s="278"/>
      <c r="V415" s="279"/>
      <c r="W415" s="279"/>
      <c r="X415" s="279"/>
      <c r="Y415" s="279"/>
      <c r="Z415" s="279"/>
      <c r="AA415" s="279"/>
      <c r="AB415" s="279"/>
      <c r="AC415" s="279"/>
      <c r="AD415" s="279"/>
      <c r="AE415" s="279"/>
      <c r="AF415" s="279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80"/>
      <c r="AR415" s="280"/>
      <c r="AS415" s="280"/>
      <c r="AT415" s="280"/>
    </row>
    <row r="416" ht="14.2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78"/>
      <c r="U416" s="278"/>
      <c r="V416" s="279"/>
      <c r="W416" s="279"/>
      <c r="X416" s="279"/>
      <c r="Y416" s="279"/>
      <c r="Z416" s="279"/>
      <c r="AA416" s="279"/>
      <c r="AB416" s="279"/>
      <c r="AC416" s="279"/>
      <c r="AD416" s="279"/>
      <c r="AE416" s="279"/>
      <c r="AF416" s="279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80"/>
      <c r="AR416" s="280"/>
      <c r="AS416" s="280"/>
      <c r="AT416" s="280"/>
    </row>
    <row r="417" ht="14.2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78"/>
      <c r="U417" s="278"/>
      <c r="V417" s="279"/>
      <c r="W417" s="279"/>
      <c r="X417" s="279"/>
      <c r="Y417" s="279"/>
      <c r="Z417" s="279"/>
      <c r="AA417" s="279"/>
      <c r="AB417" s="279"/>
      <c r="AC417" s="279"/>
      <c r="AD417" s="279"/>
      <c r="AE417" s="279"/>
      <c r="AF417" s="279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80"/>
      <c r="AR417" s="280"/>
      <c r="AS417" s="280"/>
      <c r="AT417" s="280"/>
    </row>
    <row r="418" ht="14.2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78"/>
      <c r="U418" s="278"/>
      <c r="V418" s="279"/>
      <c r="W418" s="279"/>
      <c r="X418" s="279"/>
      <c r="Y418" s="279"/>
      <c r="Z418" s="279"/>
      <c r="AA418" s="279"/>
      <c r="AB418" s="279"/>
      <c r="AC418" s="279"/>
      <c r="AD418" s="279"/>
      <c r="AE418" s="279"/>
      <c r="AF418" s="279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80"/>
      <c r="AR418" s="280"/>
      <c r="AS418" s="280"/>
      <c r="AT418" s="280"/>
    </row>
    <row r="419" ht="14.2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78"/>
      <c r="U419" s="278"/>
      <c r="V419" s="279"/>
      <c r="W419" s="279"/>
      <c r="X419" s="279"/>
      <c r="Y419" s="279"/>
      <c r="Z419" s="279"/>
      <c r="AA419" s="279"/>
      <c r="AB419" s="279"/>
      <c r="AC419" s="279"/>
      <c r="AD419" s="279"/>
      <c r="AE419" s="279"/>
      <c r="AF419" s="279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80"/>
      <c r="AR419" s="280"/>
      <c r="AS419" s="280"/>
      <c r="AT419" s="280"/>
    </row>
    <row r="420" ht="14.2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78"/>
      <c r="U420" s="278"/>
      <c r="V420" s="279"/>
      <c r="W420" s="279"/>
      <c r="X420" s="279"/>
      <c r="Y420" s="279"/>
      <c r="Z420" s="279"/>
      <c r="AA420" s="279"/>
      <c r="AB420" s="279"/>
      <c r="AC420" s="279"/>
      <c r="AD420" s="279"/>
      <c r="AE420" s="279"/>
      <c r="AF420" s="279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80"/>
      <c r="AR420" s="280"/>
      <c r="AS420" s="280"/>
      <c r="AT420" s="280"/>
    </row>
    <row r="421" ht="14.2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78"/>
      <c r="U421" s="278"/>
      <c r="V421" s="279"/>
      <c r="W421" s="279"/>
      <c r="X421" s="279"/>
      <c r="Y421" s="279"/>
      <c r="Z421" s="279"/>
      <c r="AA421" s="279"/>
      <c r="AB421" s="279"/>
      <c r="AC421" s="279"/>
      <c r="AD421" s="279"/>
      <c r="AE421" s="279"/>
      <c r="AF421" s="279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80"/>
      <c r="AR421" s="280"/>
      <c r="AS421" s="280"/>
      <c r="AT421" s="280"/>
    </row>
    <row r="422" ht="14.2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78"/>
      <c r="U422" s="278"/>
      <c r="V422" s="279"/>
      <c r="W422" s="279"/>
      <c r="X422" s="279"/>
      <c r="Y422" s="279"/>
      <c r="Z422" s="279"/>
      <c r="AA422" s="279"/>
      <c r="AB422" s="279"/>
      <c r="AC422" s="279"/>
      <c r="AD422" s="279"/>
      <c r="AE422" s="279"/>
      <c r="AF422" s="279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80"/>
      <c r="AR422" s="280"/>
      <c r="AS422" s="280"/>
      <c r="AT422" s="280"/>
    </row>
    <row r="423" ht="14.2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78"/>
      <c r="U423" s="278"/>
      <c r="V423" s="279"/>
      <c r="W423" s="279"/>
      <c r="X423" s="279"/>
      <c r="Y423" s="279"/>
      <c r="Z423" s="279"/>
      <c r="AA423" s="279"/>
      <c r="AB423" s="279"/>
      <c r="AC423" s="279"/>
      <c r="AD423" s="279"/>
      <c r="AE423" s="279"/>
      <c r="AF423" s="279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80"/>
      <c r="AR423" s="280"/>
      <c r="AS423" s="280"/>
      <c r="AT423" s="280"/>
    </row>
    <row r="424" ht="14.2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78"/>
      <c r="U424" s="278"/>
      <c r="V424" s="279"/>
      <c r="W424" s="279"/>
      <c r="X424" s="279"/>
      <c r="Y424" s="279"/>
      <c r="Z424" s="279"/>
      <c r="AA424" s="279"/>
      <c r="AB424" s="279"/>
      <c r="AC424" s="279"/>
      <c r="AD424" s="279"/>
      <c r="AE424" s="279"/>
      <c r="AF424" s="279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80"/>
      <c r="AR424" s="280"/>
      <c r="AS424" s="280"/>
      <c r="AT424" s="280"/>
    </row>
    <row r="425" ht="14.2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78"/>
      <c r="U425" s="278"/>
      <c r="V425" s="279"/>
      <c r="W425" s="279"/>
      <c r="X425" s="279"/>
      <c r="Y425" s="279"/>
      <c r="Z425" s="279"/>
      <c r="AA425" s="279"/>
      <c r="AB425" s="279"/>
      <c r="AC425" s="279"/>
      <c r="AD425" s="279"/>
      <c r="AE425" s="279"/>
      <c r="AF425" s="279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80"/>
      <c r="AR425" s="280"/>
      <c r="AS425" s="280"/>
      <c r="AT425" s="280"/>
    </row>
    <row r="426" ht="14.2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78"/>
      <c r="U426" s="278"/>
      <c r="V426" s="279"/>
      <c r="W426" s="279"/>
      <c r="X426" s="279"/>
      <c r="Y426" s="279"/>
      <c r="Z426" s="279"/>
      <c r="AA426" s="279"/>
      <c r="AB426" s="279"/>
      <c r="AC426" s="279"/>
      <c r="AD426" s="279"/>
      <c r="AE426" s="279"/>
      <c r="AF426" s="279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80"/>
      <c r="AR426" s="280"/>
      <c r="AS426" s="280"/>
      <c r="AT426" s="280"/>
    </row>
    <row r="427" ht="14.2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78"/>
      <c r="U427" s="278"/>
      <c r="V427" s="279"/>
      <c r="W427" s="279"/>
      <c r="X427" s="279"/>
      <c r="Y427" s="279"/>
      <c r="Z427" s="279"/>
      <c r="AA427" s="279"/>
      <c r="AB427" s="279"/>
      <c r="AC427" s="279"/>
      <c r="AD427" s="279"/>
      <c r="AE427" s="279"/>
      <c r="AF427" s="279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80"/>
      <c r="AR427" s="280"/>
      <c r="AS427" s="280"/>
      <c r="AT427" s="280"/>
    </row>
    <row r="428" ht="14.2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78"/>
      <c r="U428" s="278"/>
      <c r="V428" s="279"/>
      <c r="W428" s="279"/>
      <c r="X428" s="279"/>
      <c r="Y428" s="279"/>
      <c r="Z428" s="279"/>
      <c r="AA428" s="279"/>
      <c r="AB428" s="279"/>
      <c r="AC428" s="279"/>
      <c r="AD428" s="279"/>
      <c r="AE428" s="279"/>
      <c r="AF428" s="279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80"/>
      <c r="AR428" s="280"/>
      <c r="AS428" s="280"/>
      <c r="AT428" s="280"/>
    </row>
    <row r="429" ht="14.2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78"/>
      <c r="U429" s="278"/>
      <c r="V429" s="279"/>
      <c r="W429" s="279"/>
      <c r="X429" s="279"/>
      <c r="Y429" s="279"/>
      <c r="Z429" s="279"/>
      <c r="AA429" s="279"/>
      <c r="AB429" s="279"/>
      <c r="AC429" s="279"/>
      <c r="AD429" s="279"/>
      <c r="AE429" s="279"/>
      <c r="AF429" s="279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80"/>
      <c r="AR429" s="280"/>
      <c r="AS429" s="280"/>
      <c r="AT429" s="280"/>
    </row>
    <row r="430" ht="14.2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78"/>
      <c r="U430" s="278"/>
      <c r="V430" s="279"/>
      <c r="W430" s="279"/>
      <c r="X430" s="279"/>
      <c r="Y430" s="279"/>
      <c r="Z430" s="279"/>
      <c r="AA430" s="279"/>
      <c r="AB430" s="279"/>
      <c r="AC430" s="279"/>
      <c r="AD430" s="279"/>
      <c r="AE430" s="279"/>
      <c r="AF430" s="279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80"/>
      <c r="AR430" s="280"/>
      <c r="AS430" s="280"/>
      <c r="AT430" s="280"/>
    </row>
    <row r="431" ht="14.2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78"/>
      <c r="U431" s="278"/>
      <c r="V431" s="279"/>
      <c r="W431" s="279"/>
      <c r="X431" s="279"/>
      <c r="Y431" s="279"/>
      <c r="Z431" s="279"/>
      <c r="AA431" s="279"/>
      <c r="AB431" s="279"/>
      <c r="AC431" s="279"/>
      <c r="AD431" s="279"/>
      <c r="AE431" s="279"/>
      <c r="AF431" s="279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80"/>
      <c r="AR431" s="280"/>
      <c r="AS431" s="280"/>
      <c r="AT431" s="280"/>
    </row>
    <row r="432" ht="14.2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78"/>
      <c r="U432" s="278"/>
      <c r="V432" s="279"/>
      <c r="W432" s="279"/>
      <c r="X432" s="279"/>
      <c r="Y432" s="279"/>
      <c r="Z432" s="279"/>
      <c r="AA432" s="279"/>
      <c r="AB432" s="279"/>
      <c r="AC432" s="279"/>
      <c r="AD432" s="279"/>
      <c r="AE432" s="279"/>
      <c r="AF432" s="279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80"/>
      <c r="AR432" s="280"/>
      <c r="AS432" s="280"/>
      <c r="AT432" s="280"/>
    </row>
    <row r="433" ht="14.2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78"/>
      <c r="U433" s="278"/>
      <c r="V433" s="279"/>
      <c r="W433" s="279"/>
      <c r="X433" s="279"/>
      <c r="Y433" s="279"/>
      <c r="Z433" s="279"/>
      <c r="AA433" s="279"/>
      <c r="AB433" s="279"/>
      <c r="AC433" s="279"/>
      <c r="AD433" s="279"/>
      <c r="AE433" s="279"/>
      <c r="AF433" s="279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80"/>
      <c r="AR433" s="280"/>
      <c r="AS433" s="280"/>
      <c r="AT433" s="280"/>
    </row>
    <row r="434" ht="14.2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78"/>
      <c r="U434" s="278"/>
      <c r="V434" s="279"/>
      <c r="W434" s="279"/>
      <c r="X434" s="279"/>
      <c r="Y434" s="279"/>
      <c r="Z434" s="279"/>
      <c r="AA434" s="279"/>
      <c r="AB434" s="279"/>
      <c r="AC434" s="279"/>
      <c r="AD434" s="279"/>
      <c r="AE434" s="279"/>
      <c r="AF434" s="279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80"/>
      <c r="AR434" s="280"/>
      <c r="AS434" s="280"/>
      <c r="AT434" s="280"/>
    </row>
    <row r="435" ht="14.2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78"/>
      <c r="U435" s="278"/>
      <c r="V435" s="279"/>
      <c r="W435" s="279"/>
      <c r="X435" s="279"/>
      <c r="Y435" s="279"/>
      <c r="Z435" s="279"/>
      <c r="AA435" s="279"/>
      <c r="AB435" s="279"/>
      <c r="AC435" s="279"/>
      <c r="AD435" s="279"/>
      <c r="AE435" s="279"/>
      <c r="AF435" s="279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80"/>
      <c r="AR435" s="280"/>
      <c r="AS435" s="280"/>
      <c r="AT435" s="280"/>
    </row>
    <row r="436" ht="14.2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78"/>
      <c r="U436" s="278"/>
      <c r="V436" s="279"/>
      <c r="W436" s="279"/>
      <c r="X436" s="279"/>
      <c r="Y436" s="279"/>
      <c r="Z436" s="279"/>
      <c r="AA436" s="279"/>
      <c r="AB436" s="279"/>
      <c r="AC436" s="279"/>
      <c r="AD436" s="279"/>
      <c r="AE436" s="279"/>
      <c r="AF436" s="279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80"/>
      <c r="AR436" s="280"/>
      <c r="AS436" s="280"/>
      <c r="AT436" s="280"/>
    </row>
    <row r="437" ht="14.2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78"/>
      <c r="U437" s="278"/>
      <c r="V437" s="279"/>
      <c r="W437" s="279"/>
      <c r="X437" s="279"/>
      <c r="Y437" s="279"/>
      <c r="Z437" s="279"/>
      <c r="AA437" s="279"/>
      <c r="AB437" s="279"/>
      <c r="AC437" s="279"/>
      <c r="AD437" s="279"/>
      <c r="AE437" s="279"/>
      <c r="AF437" s="279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80"/>
      <c r="AR437" s="280"/>
      <c r="AS437" s="280"/>
      <c r="AT437" s="280"/>
    </row>
    <row r="438" ht="14.2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78"/>
      <c r="U438" s="278"/>
      <c r="V438" s="279"/>
      <c r="W438" s="279"/>
      <c r="X438" s="279"/>
      <c r="Y438" s="279"/>
      <c r="Z438" s="279"/>
      <c r="AA438" s="279"/>
      <c r="AB438" s="279"/>
      <c r="AC438" s="279"/>
      <c r="AD438" s="279"/>
      <c r="AE438" s="279"/>
      <c r="AF438" s="279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80"/>
      <c r="AR438" s="280"/>
      <c r="AS438" s="280"/>
      <c r="AT438" s="280"/>
    </row>
    <row r="439" ht="14.2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78"/>
      <c r="U439" s="278"/>
      <c r="V439" s="279"/>
      <c r="W439" s="279"/>
      <c r="X439" s="279"/>
      <c r="Y439" s="279"/>
      <c r="Z439" s="279"/>
      <c r="AA439" s="279"/>
      <c r="AB439" s="279"/>
      <c r="AC439" s="279"/>
      <c r="AD439" s="279"/>
      <c r="AE439" s="279"/>
      <c r="AF439" s="279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80"/>
      <c r="AR439" s="280"/>
      <c r="AS439" s="280"/>
      <c r="AT439" s="280"/>
    </row>
    <row r="440" ht="14.2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78"/>
      <c r="U440" s="278"/>
      <c r="V440" s="279"/>
      <c r="W440" s="279"/>
      <c r="X440" s="279"/>
      <c r="Y440" s="279"/>
      <c r="Z440" s="279"/>
      <c r="AA440" s="279"/>
      <c r="AB440" s="279"/>
      <c r="AC440" s="279"/>
      <c r="AD440" s="279"/>
      <c r="AE440" s="279"/>
      <c r="AF440" s="279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80"/>
      <c r="AR440" s="280"/>
      <c r="AS440" s="280"/>
      <c r="AT440" s="280"/>
    </row>
    <row r="441" ht="14.2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78"/>
      <c r="U441" s="278"/>
      <c r="V441" s="279"/>
      <c r="W441" s="279"/>
      <c r="X441" s="279"/>
      <c r="Y441" s="279"/>
      <c r="Z441" s="279"/>
      <c r="AA441" s="279"/>
      <c r="AB441" s="279"/>
      <c r="AC441" s="279"/>
      <c r="AD441" s="279"/>
      <c r="AE441" s="279"/>
      <c r="AF441" s="279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80"/>
      <c r="AR441" s="280"/>
      <c r="AS441" s="280"/>
      <c r="AT441" s="280"/>
    </row>
    <row r="442" ht="14.2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78"/>
      <c r="U442" s="278"/>
      <c r="V442" s="279"/>
      <c r="W442" s="279"/>
      <c r="X442" s="279"/>
      <c r="Y442" s="279"/>
      <c r="Z442" s="279"/>
      <c r="AA442" s="279"/>
      <c r="AB442" s="279"/>
      <c r="AC442" s="279"/>
      <c r="AD442" s="279"/>
      <c r="AE442" s="279"/>
      <c r="AF442" s="279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80"/>
      <c r="AR442" s="280"/>
      <c r="AS442" s="280"/>
      <c r="AT442" s="280"/>
    </row>
    <row r="443" ht="14.2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78"/>
      <c r="U443" s="278"/>
      <c r="V443" s="279"/>
      <c r="W443" s="279"/>
      <c r="X443" s="279"/>
      <c r="Y443" s="279"/>
      <c r="Z443" s="279"/>
      <c r="AA443" s="279"/>
      <c r="AB443" s="279"/>
      <c r="AC443" s="279"/>
      <c r="AD443" s="279"/>
      <c r="AE443" s="279"/>
      <c r="AF443" s="279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80"/>
      <c r="AR443" s="280"/>
      <c r="AS443" s="280"/>
      <c r="AT443" s="280"/>
    </row>
    <row r="444" ht="14.2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78"/>
      <c r="U444" s="278"/>
      <c r="V444" s="279"/>
      <c r="W444" s="279"/>
      <c r="X444" s="279"/>
      <c r="Y444" s="279"/>
      <c r="Z444" s="279"/>
      <c r="AA444" s="279"/>
      <c r="AB444" s="279"/>
      <c r="AC444" s="279"/>
      <c r="AD444" s="279"/>
      <c r="AE444" s="279"/>
      <c r="AF444" s="279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80"/>
      <c r="AR444" s="280"/>
      <c r="AS444" s="280"/>
      <c r="AT444" s="280"/>
    </row>
    <row r="445" ht="14.2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78"/>
      <c r="U445" s="278"/>
      <c r="V445" s="279"/>
      <c r="W445" s="279"/>
      <c r="X445" s="279"/>
      <c r="Y445" s="279"/>
      <c r="Z445" s="279"/>
      <c r="AA445" s="279"/>
      <c r="AB445" s="279"/>
      <c r="AC445" s="279"/>
      <c r="AD445" s="279"/>
      <c r="AE445" s="279"/>
      <c r="AF445" s="279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80"/>
      <c r="AR445" s="280"/>
      <c r="AS445" s="280"/>
      <c r="AT445" s="280"/>
    </row>
    <row r="446" ht="14.2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78"/>
      <c r="U446" s="278"/>
      <c r="V446" s="279"/>
      <c r="W446" s="279"/>
      <c r="X446" s="279"/>
      <c r="Y446" s="279"/>
      <c r="Z446" s="279"/>
      <c r="AA446" s="279"/>
      <c r="AB446" s="279"/>
      <c r="AC446" s="279"/>
      <c r="AD446" s="279"/>
      <c r="AE446" s="279"/>
      <c r="AF446" s="279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80"/>
      <c r="AR446" s="280"/>
      <c r="AS446" s="280"/>
      <c r="AT446" s="280"/>
    </row>
    <row r="447" ht="14.2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78"/>
      <c r="U447" s="278"/>
      <c r="V447" s="279"/>
      <c r="W447" s="279"/>
      <c r="X447" s="279"/>
      <c r="Y447" s="279"/>
      <c r="Z447" s="279"/>
      <c r="AA447" s="279"/>
      <c r="AB447" s="279"/>
      <c r="AC447" s="279"/>
      <c r="AD447" s="279"/>
      <c r="AE447" s="279"/>
      <c r="AF447" s="279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80"/>
      <c r="AR447" s="280"/>
      <c r="AS447" s="280"/>
      <c r="AT447" s="280"/>
    </row>
    <row r="448" ht="14.2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78"/>
      <c r="U448" s="278"/>
      <c r="V448" s="279"/>
      <c r="W448" s="279"/>
      <c r="X448" s="279"/>
      <c r="Y448" s="279"/>
      <c r="Z448" s="279"/>
      <c r="AA448" s="279"/>
      <c r="AB448" s="279"/>
      <c r="AC448" s="279"/>
      <c r="AD448" s="279"/>
      <c r="AE448" s="279"/>
      <c r="AF448" s="279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80"/>
      <c r="AR448" s="280"/>
      <c r="AS448" s="280"/>
      <c r="AT448" s="280"/>
    </row>
    <row r="449" ht="14.2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78"/>
      <c r="U449" s="278"/>
      <c r="V449" s="279"/>
      <c r="W449" s="279"/>
      <c r="X449" s="279"/>
      <c r="Y449" s="279"/>
      <c r="Z449" s="279"/>
      <c r="AA449" s="279"/>
      <c r="AB449" s="279"/>
      <c r="AC449" s="279"/>
      <c r="AD449" s="279"/>
      <c r="AE449" s="279"/>
      <c r="AF449" s="279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80"/>
      <c r="AR449" s="280"/>
      <c r="AS449" s="280"/>
      <c r="AT449" s="280"/>
    </row>
    <row r="450" ht="14.2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78"/>
      <c r="U450" s="278"/>
      <c r="V450" s="279"/>
      <c r="W450" s="279"/>
      <c r="X450" s="279"/>
      <c r="Y450" s="279"/>
      <c r="Z450" s="279"/>
      <c r="AA450" s="279"/>
      <c r="AB450" s="279"/>
      <c r="AC450" s="279"/>
      <c r="AD450" s="279"/>
      <c r="AE450" s="279"/>
      <c r="AF450" s="279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80"/>
      <c r="AR450" s="280"/>
      <c r="AS450" s="280"/>
      <c r="AT450" s="280"/>
    </row>
    <row r="451" ht="14.2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78"/>
      <c r="U451" s="278"/>
      <c r="V451" s="279"/>
      <c r="W451" s="279"/>
      <c r="X451" s="279"/>
      <c r="Y451" s="279"/>
      <c r="Z451" s="279"/>
      <c r="AA451" s="279"/>
      <c r="AB451" s="279"/>
      <c r="AC451" s="279"/>
      <c r="AD451" s="279"/>
      <c r="AE451" s="279"/>
      <c r="AF451" s="279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80"/>
      <c r="AR451" s="280"/>
      <c r="AS451" s="280"/>
      <c r="AT451" s="280"/>
    </row>
    <row r="452" ht="14.2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78"/>
      <c r="U452" s="278"/>
      <c r="V452" s="279"/>
      <c r="W452" s="279"/>
      <c r="X452" s="279"/>
      <c r="Y452" s="279"/>
      <c r="Z452" s="279"/>
      <c r="AA452" s="279"/>
      <c r="AB452" s="279"/>
      <c r="AC452" s="279"/>
      <c r="AD452" s="279"/>
      <c r="AE452" s="279"/>
      <c r="AF452" s="279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80"/>
      <c r="AR452" s="280"/>
      <c r="AS452" s="280"/>
      <c r="AT452" s="280"/>
    </row>
    <row r="453" ht="14.2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78"/>
      <c r="U453" s="278"/>
      <c r="V453" s="279"/>
      <c r="W453" s="279"/>
      <c r="X453" s="279"/>
      <c r="Y453" s="279"/>
      <c r="Z453" s="279"/>
      <c r="AA453" s="279"/>
      <c r="AB453" s="279"/>
      <c r="AC453" s="279"/>
      <c r="AD453" s="279"/>
      <c r="AE453" s="279"/>
      <c r="AF453" s="279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80"/>
      <c r="AR453" s="280"/>
      <c r="AS453" s="280"/>
      <c r="AT453" s="280"/>
    </row>
    <row r="454" ht="14.2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78"/>
      <c r="U454" s="278"/>
      <c r="V454" s="279"/>
      <c r="W454" s="279"/>
      <c r="X454" s="279"/>
      <c r="Y454" s="279"/>
      <c r="Z454" s="279"/>
      <c r="AA454" s="279"/>
      <c r="AB454" s="279"/>
      <c r="AC454" s="279"/>
      <c r="AD454" s="279"/>
      <c r="AE454" s="279"/>
      <c r="AF454" s="279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80"/>
      <c r="AR454" s="280"/>
      <c r="AS454" s="280"/>
      <c r="AT454" s="280"/>
    </row>
    <row r="455" ht="14.2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78"/>
      <c r="U455" s="278"/>
      <c r="V455" s="279"/>
      <c r="W455" s="279"/>
      <c r="X455" s="279"/>
      <c r="Y455" s="279"/>
      <c r="Z455" s="279"/>
      <c r="AA455" s="279"/>
      <c r="AB455" s="279"/>
      <c r="AC455" s="279"/>
      <c r="AD455" s="279"/>
      <c r="AE455" s="279"/>
      <c r="AF455" s="279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80"/>
      <c r="AR455" s="280"/>
      <c r="AS455" s="280"/>
      <c r="AT455" s="280"/>
    </row>
    <row r="456" ht="14.2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78"/>
      <c r="U456" s="278"/>
      <c r="V456" s="279"/>
      <c r="W456" s="279"/>
      <c r="X456" s="279"/>
      <c r="Y456" s="279"/>
      <c r="Z456" s="279"/>
      <c r="AA456" s="279"/>
      <c r="AB456" s="279"/>
      <c r="AC456" s="279"/>
      <c r="AD456" s="279"/>
      <c r="AE456" s="279"/>
      <c r="AF456" s="279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80"/>
      <c r="AR456" s="280"/>
      <c r="AS456" s="280"/>
      <c r="AT456" s="280"/>
    </row>
    <row r="457" ht="14.2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78"/>
      <c r="U457" s="278"/>
      <c r="V457" s="279"/>
      <c r="W457" s="279"/>
      <c r="X457" s="279"/>
      <c r="Y457" s="279"/>
      <c r="Z457" s="279"/>
      <c r="AA457" s="279"/>
      <c r="AB457" s="279"/>
      <c r="AC457" s="279"/>
      <c r="AD457" s="279"/>
      <c r="AE457" s="279"/>
      <c r="AF457" s="279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80"/>
      <c r="AR457" s="280"/>
      <c r="AS457" s="280"/>
      <c r="AT457" s="280"/>
    </row>
    <row r="458" ht="14.2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78"/>
      <c r="U458" s="278"/>
      <c r="V458" s="279"/>
      <c r="W458" s="279"/>
      <c r="X458" s="279"/>
      <c r="Y458" s="279"/>
      <c r="Z458" s="279"/>
      <c r="AA458" s="279"/>
      <c r="AB458" s="279"/>
      <c r="AC458" s="279"/>
      <c r="AD458" s="279"/>
      <c r="AE458" s="279"/>
      <c r="AF458" s="279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80"/>
      <c r="AR458" s="280"/>
      <c r="AS458" s="280"/>
      <c r="AT458" s="280"/>
    </row>
    <row r="459" ht="14.2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78"/>
      <c r="U459" s="278"/>
      <c r="V459" s="279"/>
      <c r="W459" s="279"/>
      <c r="X459" s="279"/>
      <c r="Y459" s="279"/>
      <c r="Z459" s="279"/>
      <c r="AA459" s="279"/>
      <c r="AB459" s="279"/>
      <c r="AC459" s="279"/>
      <c r="AD459" s="279"/>
      <c r="AE459" s="279"/>
      <c r="AF459" s="279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80"/>
      <c r="AR459" s="280"/>
      <c r="AS459" s="280"/>
      <c r="AT459" s="280"/>
    </row>
    <row r="460" ht="14.2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78"/>
      <c r="U460" s="278"/>
      <c r="V460" s="279"/>
      <c r="W460" s="279"/>
      <c r="X460" s="279"/>
      <c r="Y460" s="279"/>
      <c r="Z460" s="279"/>
      <c r="AA460" s="279"/>
      <c r="AB460" s="279"/>
      <c r="AC460" s="279"/>
      <c r="AD460" s="279"/>
      <c r="AE460" s="279"/>
      <c r="AF460" s="279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80"/>
      <c r="AR460" s="280"/>
      <c r="AS460" s="280"/>
      <c r="AT460" s="280"/>
    </row>
    <row r="461" ht="14.2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78"/>
      <c r="U461" s="278"/>
      <c r="V461" s="279"/>
      <c r="W461" s="279"/>
      <c r="X461" s="279"/>
      <c r="Y461" s="279"/>
      <c r="Z461" s="279"/>
      <c r="AA461" s="279"/>
      <c r="AB461" s="279"/>
      <c r="AC461" s="279"/>
      <c r="AD461" s="279"/>
      <c r="AE461" s="279"/>
      <c r="AF461" s="279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80"/>
      <c r="AR461" s="280"/>
      <c r="AS461" s="280"/>
      <c r="AT461" s="280"/>
    </row>
    <row r="462" ht="14.2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78"/>
      <c r="U462" s="278"/>
      <c r="V462" s="279"/>
      <c r="W462" s="279"/>
      <c r="X462" s="279"/>
      <c r="Y462" s="279"/>
      <c r="Z462" s="279"/>
      <c r="AA462" s="279"/>
      <c r="AB462" s="279"/>
      <c r="AC462" s="279"/>
      <c r="AD462" s="279"/>
      <c r="AE462" s="279"/>
      <c r="AF462" s="279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80"/>
      <c r="AR462" s="280"/>
      <c r="AS462" s="280"/>
      <c r="AT462" s="280"/>
    </row>
    <row r="463" ht="14.2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78"/>
      <c r="U463" s="278"/>
      <c r="V463" s="279"/>
      <c r="W463" s="279"/>
      <c r="X463" s="279"/>
      <c r="Y463" s="279"/>
      <c r="Z463" s="279"/>
      <c r="AA463" s="279"/>
      <c r="AB463" s="279"/>
      <c r="AC463" s="279"/>
      <c r="AD463" s="279"/>
      <c r="AE463" s="279"/>
      <c r="AF463" s="279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80"/>
      <c r="AR463" s="280"/>
      <c r="AS463" s="280"/>
      <c r="AT463" s="280"/>
    </row>
    <row r="464" ht="14.2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78"/>
      <c r="U464" s="278"/>
      <c r="V464" s="279"/>
      <c r="W464" s="279"/>
      <c r="X464" s="279"/>
      <c r="Y464" s="279"/>
      <c r="Z464" s="279"/>
      <c r="AA464" s="279"/>
      <c r="AB464" s="279"/>
      <c r="AC464" s="279"/>
      <c r="AD464" s="279"/>
      <c r="AE464" s="279"/>
      <c r="AF464" s="279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80"/>
      <c r="AR464" s="280"/>
      <c r="AS464" s="280"/>
      <c r="AT464" s="280"/>
    </row>
    <row r="465" ht="14.2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78"/>
      <c r="U465" s="278"/>
      <c r="V465" s="279"/>
      <c r="W465" s="279"/>
      <c r="X465" s="279"/>
      <c r="Y465" s="279"/>
      <c r="Z465" s="279"/>
      <c r="AA465" s="279"/>
      <c r="AB465" s="279"/>
      <c r="AC465" s="279"/>
      <c r="AD465" s="279"/>
      <c r="AE465" s="279"/>
      <c r="AF465" s="279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80"/>
      <c r="AR465" s="280"/>
      <c r="AS465" s="280"/>
      <c r="AT465" s="280"/>
    </row>
    <row r="466" ht="14.2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78"/>
      <c r="U466" s="278"/>
      <c r="V466" s="279"/>
      <c r="W466" s="279"/>
      <c r="X466" s="279"/>
      <c r="Y466" s="279"/>
      <c r="Z466" s="279"/>
      <c r="AA466" s="279"/>
      <c r="AB466" s="279"/>
      <c r="AC466" s="279"/>
      <c r="AD466" s="279"/>
      <c r="AE466" s="279"/>
      <c r="AF466" s="279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80"/>
      <c r="AR466" s="280"/>
      <c r="AS466" s="280"/>
      <c r="AT466" s="280"/>
    </row>
    <row r="467" ht="14.2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78"/>
      <c r="U467" s="278"/>
      <c r="V467" s="279"/>
      <c r="W467" s="279"/>
      <c r="X467" s="279"/>
      <c r="Y467" s="279"/>
      <c r="Z467" s="279"/>
      <c r="AA467" s="279"/>
      <c r="AB467" s="279"/>
      <c r="AC467" s="279"/>
      <c r="AD467" s="279"/>
      <c r="AE467" s="279"/>
      <c r="AF467" s="279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80"/>
      <c r="AR467" s="280"/>
      <c r="AS467" s="280"/>
      <c r="AT467" s="280"/>
    </row>
    <row r="468" ht="14.2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78"/>
      <c r="U468" s="278"/>
      <c r="V468" s="279"/>
      <c r="W468" s="279"/>
      <c r="X468" s="279"/>
      <c r="Y468" s="279"/>
      <c r="Z468" s="279"/>
      <c r="AA468" s="279"/>
      <c r="AB468" s="279"/>
      <c r="AC468" s="279"/>
      <c r="AD468" s="279"/>
      <c r="AE468" s="279"/>
      <c r="AF468" s="279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80"/>
      <c r="AR468" s="280"/>
      <c r="AS468" s="280"/>
      <c r="AT468" s="280"/>
    </row>
    <row r="469" ht="14.2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78"/>
      <c r="U469" s="278"/>
      <c r="V469" s="279"/>
      <c r="W469" s="279"/>
      <c r="X469" s="279"/>
      <c r="Y469" s="279"/>
      <c r="Z469" s="279"/>
      <c r="AA469" s="279"/>
      <c r="AB469" s="279"/>
      <c r="AC469" s="279"/>
      <c r="AD469" s="279"/>
      <c r="AE469" s="279"/>
      <c r="AF469" s="279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80"/>
      <c r="AR469" s="280"/>
      <c r="AS469" s="280"/>
      <c r="AT469" s="280"/>
    </row>
    <row r="470" ht="14.2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78"/>
      <c r="U470" s="278"/>
      <c r="V470" s="279"/>
      <c r="W470" s="279"/>
      <c r="X470" s="279"/>
      <c r="Y470" s="279"/>
      <c r="Z470" s="279"/>
      <c r="AA470" s="279"/>
      <c r="AB470" s="279"/>
      <c r="AC470" s="279"/>
      <c r="AD470" s="279"/>
      <c r="AE470" s="279"/>
      <c r="AF470" s="279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80"/>
      <c r="AR470" s="280"/>
      <c r="AS470" s="280"/>
      <c r="AT470" s="280"/>
    </row>
    <row r="471" ht="14.2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78"/>
      <c r="U471" s="278"/>
      <c r="V471" s="279"/>
      <c r="W471" s="279"/>
      <c r="X471" s="279"/>
      <c r="Y471" s="279"/>
      <c r="Z471" s="279"/>
      <c r="AA471" s="279"/>
      <c r="AB471" s="279"/>
      <c r="AC471" s="279"/>
      <c r="AD471" s="279"/>
      <c r="AE471" s="279"/>
      <c r="AF471" s="279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80"/>
      <c r="AR471" s="280"/>
      <c r="AS471" s="280"/>
      <c r="AT471" s="280"/>
    </row>
    <row r="472" ht="14.2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78"/>
      <c r="U472" s="278"/>
      <c r="V472" s="279"/>
      <c r="W472" s="279"/>
      <c r="X472" s="279"/>
      <c r="Y472" s="279"/>
      <c r="Z472" s="279"/>
      <c r="AA472" s="279"/>
      <c r="AB472" s="279"/>
      <c r="AC472" s="279"/>
      <c r="AD472" s="279"/>
      <c r="AE472" s="279"/>
      <c r="AF472" s="279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80"/>
      <c r="AR472" s="280"/>
      <c r="AS472" s="280"/>
      <c r="AT472" s="280"/>
    </row>
    <row r="473" ht="14.2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78"/>
      <c r="U473" s="278"/>
      <c r="V473" s="279"/>
      <c r="W473" s="279"/>
      <c r="X473" s="279"/>
      <c r="Y473" s="279"/>
      <c r="Z473" s="279"/>
      <c r="AA473" s="279"/>
      <c r="AB473" s="279"/>
      <c r="AC473" s="279"/>
      <c r="AD473" s="279"/>
      <c r="AE473" s="279"/>
      <c r="AF473" s="279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80"/>
      <c r="AR473" s="280"/>
      <c r="AS473" s="280"/>
      <c r="AT473" s="280"/>
    </row>
    <row r="474" ht="14.2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78"/>
      <c r="U474" s="278"/>
      <c r="V474" s="279"/>
      <c r="W474" s="279"/>
      <c r="X474" s="279"/>
      <c r="Y474" s="279"/>
      <c r="Z474" s="279"/>
      <c r="AA474" s="279"/>
      <c r="AB474" s="279"/>
      <c r="AC474" s="279"/>
      <c r="AD474" s="279"/>
      <c r="AE474" s="279"/>
      <c r="AF474" s="279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80"/>
      <c r="AR474" s="280"/>
      <c r="AS474" s="280"/>
      <c r="AT474" s="280"/>
    </row>
    <row r="475" ht="14.2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78"/>
      <c r="U475" s="278"/>
      <c r="V475" s="279"/>
      <c r="W475" s="279"/>
      <c r="X475" s="279"/>
      <c r="Y475" s="279"/>
      <c r="Z475" s="279"/>
      <c r="AA475" s="279"/>
      <c r="AB475" s="279"/>
      <c r="AC475" s="279"/>
      <c r="AD475" s="279"/>
      <c r="AE475" s="279"/>
      <c r="AF475" s="279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80"/>
      <c r="AR475" s="280"/>
      <c r="AS475" s="280"/>
      <c r="AT475" s="280"/>
    </row>
    <row r="476" ht="14.2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78"/>
      <c r="U476" s="278"/>
      <c r="V476" s="279"/>
      <c r="W476" s="279"/>
      <c r="X476" s="279"/>
      <c r="Y476" s="279"/>
      <c r="Z476" s="279"/>
      <c r="AA476" s="279"/>
      <c r="AB476" s="279"/>
      <c r="AC476" s="279"/>
      <c r="AD476" s="279"/>
      <c r="AE476" s="279"/>
      <c r="AF476" s="279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80"/>
      <c r="AR476" s="280"/>
      <c r="AS476" s="280"/>
      <c r="AT476" s="280"/>
    </row>
    <row r="477" ht="14.2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78"/>
      <c r="U477" s="278"/>
      <c r="V477" s="279"/>
      <c r="W477" s="279"/>
      <c r="X477" s="279"/>
      <c r="Y477" s="279"/>
      <c r="Z477" s="279"/>
      <c r="AA477" s="279"/>
      <c r="AB477" s="279"/>
      <c r="AC477" s="279"/>
      <c r="AD477" s="279"/>
      <c r="AE477" s="279"/>
      <c r="AF477" s="279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80"/>
      <c r="AR477" s="280"/>
      <c r="AS477" s="280"/>
      <c r="AT477" s="280"/>
    </row>
    <row r="478" ht="14.2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78"/>
      <c r="U478" s="278"/>
      <c r="V478" s="279"/>
      <c r="W478" s="279"/>
      <c r="X478" s="279"/>
      <c r="Y478" s="279"/>
      <c r="Z478" s="279"/>
      <c r="AA478" s="279"/>
      <c r="AB478" s="279"/>
      <c r="AC478" s="279"/>
      <c r="AD478" s="279"/>
      <c r="AE478" s="279"/>
      <c r="AF478" s="279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80"/>
      <c r="AR478" s="280"/>
      <c r="AS478" s="280"/>
      <c r="AT478" s="280"/>
    </row>
    <row r="479" ht="14.2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78"/>
      <c r="U479" s="278"/>
      <c r="V479" s="279"/>
      <c r="W479" s="279"/>
      <c r="X479" s="279"/>
      <c r="Y479" s="279"/>
      <c r="Z479" s="279"/>
      <c r="AA479" s="279"/>
      <c r="AB479" s="279"/>
      <c r="AC479" s="279"/>
      <c r="AD479" s="279"/>
      <c r="AE479" s="279"/>
      <c r="AF479" s="279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80"/>
      <c r="AR479" s="280"/>
      <c r="AS479" s="280"/>
      <c r="AT479" s="280"/>
    </row>
    <row r="480" ht="14.2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78"/>
      <c r="U480" s="278"/>
      <c r="V480" s="279"/>
      <c r="W480" s="279"/>
      <c r="X480" s="279"/>
      <c r="Y480" s="279"/>
      <c r="Z480" s="279"/>
      <c r="AA480" s="279"/>
      <c r="AB480" s="279"/>
      <c r="AC480" s="279"/>
      <c r="AD480" s="279"/>
      <c r="AE480" s="279"/>
      <c r="AF480" s="279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80"/>
      <c r="AR480" s="280"/>
      <c r="AS480" s="280"/>
      <c r="AT480" s="280"/>
    </row>
    <row r="481" ht="14.2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78"/>
      <c r="U481" s="278"/>
      <c r="V481" s="279"/>
      <c r="W481" s="279"/>
      <c r="X481" s="279"/>
      <c r="Y481" s="279"/>
      <c r="Z481" s="279"/>
      <c r="AA481" s="279"/>
      <c r="AB481" s="279"/>
      <c r="AC481" s="279"/>
      <c r="AD481" s="279"/>
      <c r="AE481" s="279"/>
      <c r="AF481" s="279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80"/>
      <c r="AR481" s="280"/>
      <c r="AS481" s="280"/>
      <c r="AT481" s="280"/>
    </row>
    <row r="482" ht="14.2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78"/>
      <c r="U482" s="278"/>
      <c r="V482" s="279"/>
      <c r="W482" s="279"/>
      <c r="X482" s="279"/>
      <c r="Y482" s="279"/>
      <c r="Z482" s="279"/>
      <c r="AA482" s="279"/>
      <c r="AB482" s="279"/>
      <c r="AC482" s="279"/>
      <c r="AD482" s="279"/>
      <c r="AE482" s="279"/>
      <c r="AF482" s="279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80"/>
      <c r="AR482" s="280"/>
      <c r="AS482" s="280"/>
      <c r="AT482" s="280"/>
    </row>
    <row r="483" ht="14.2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78"/>
      <c r="U483" s="278"/>
      <c r="V483" s="279"/>
      <c r="W483" s="279"/>
      <c r="X483" s="279"/>
      <c r="Y483" s="279"/>
      <c r="Z483" s="279"/>
      <c r="AA483" s="279"/>
      <c r="AB483" s="279"/>
      <c r="AC483" s="279"/>
      <c r="AD483" s="279"/>
      <c r="AE483" s="279"/>
      <c r="AF483" s="279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80"/>
      <c r="AR483" s="280"/>
      <c r="AS483" s="280"/>
      <c r="AT483" s="280"/>
    </row>
    <row r="484" ht="14.2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78"/>
      <c r="U484" s="278"/>
      <c r="V484" s="279"/>
      <c r="W484" s="279"/>
      <c r="X484" s="279"/>
      <c r="Y484" s="279"/>
      <c r="Z484" s="279"/>
      <c r="AA484" s="279"/>
      <c r="AB484" s="279"/>
      <c r="AC484" s="279"/>
      <c r="AD484" s="279"/>
      <c r="AE484" s="279"/>
      <c r="AF484" s="279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80"/>
      <c r="AR484" s="280"/>
      <c r="AS484" s="280"/>
      <c r="AT484" s="280"/>
    </row>
    <row r="485" ht="14.2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78"/>
      <c r="U485" s="278"/>
      <c r="V485" s="279"/>
      <c r="W485" s="279"/>
      <c r="X485" s="279"/>
      <c r="Y485" s="279"/>
      <c r="Z485" s="279"/>
      <c r="AA485" s="279"/>
      <c r="AB485" s="279"/>
      <c r="AC485" s="279"/>
      <c r="AD485" s="279"/>
      <c r="AE485" s="279"/>
      <c r="AF485" s="279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80"/>
      <c r="AR485" s="280"/>
      <c r="AS485" s="280"/>
      <c r="AT485" s="280"/>
    </row>
    <row r="486" ht="14.2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78"/>
      <c r="U486" s="278"/>
      <c r="V486" s="279"/>
      <c r="W486" s="279"/>
      <c r="X486" s="279"/>
      <c r="Y486" s="279"/>
      <c r="Z486" s="279"/>
      <c r="AA486" s="279"/>
      <c r="AB486" s="279"/>
      <c r="AC486" s="279"/>
      <c r="AD486" s="279"/>
      <c r="AE486" s="279"/>
      <c r="AF486" s="279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80"/>
      <c r="AR486" s="280"/>
      <c r="AS486" s="280"/>
      <c r="AT486" s="280"/>
    </row>
    <row r="487" ht="14.2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78"/>
      <c r="U487" s="278"/>
      <c r="V487" s="279"/>
      <c r="W487" s="279"/>
      <c r="X487" s="279"/>
      <c r="Y487" s="279"/>
      <c r="Z487" s="279"/>
      <c r="AA487" s="279"/>
      <c r="AB487" s="279"/>
      <c r="AC487" s="279"/>
      <c r="AD487" s="279"/>
      <c r="AE487" s="279"/>
      <c r="AF487" s="279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80"/>
      <c r="AR487" s="280"/>
      <c r="AS487" s="280"/>
      <c r="AT487" s="280"/>
    </row>
    <row r="488" ht="14.2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78"/>
      <c r="U488" s="278"/>
      <c r="V488" s="279"/>
      <c r="W488" s="279"/>
      <c r="X488" s="279"/>
      <c r="Y488" s="279"/>
      <c r="Z488" s="279"/>
      <c r="AA488" s="279"/>
      <c r="AB488" s="279"/>
      <c r="AC488" s="279"/>
      <c r="AD488" s="279"/>
      <c r="AE488" s="279"/>
      <c r="AF488" s="279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80"/>
      <c r="AR488" s="280"/>
      <c r="AS488" s="280"/>
      <c r="AT488" s="280"/>
    </row>
    <row r="489" ht="14.2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78"/>
      <c r="U489" s="278"/>
      <c r="V489" s="279"/>
      <c r="W489" s="279"/>
      <c r="X489" s="279"/>
      <c r="Y489" s="279"/>
      <c r="Z489" s="279"/>
      <c r="AA489" s="279"/>
      <c r="AB489" s="279"/>
      <c r="AC489" s="279"/>
      <c r="AD489" s="279"/>
      <c r="AE489" s="279"/>
      <c r="AF489" s="279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80"/>
      <c r="AR489" s="280"/>
      <c r="AS489" s="280"/>
      <c r="AT489" s="280"/>
    </row>
    <row r="490" ht="14.2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78"/>
      <c r="U490" s="278"/>
      <c r="V490" s="279"/>
      <c r="W490" s="279"/>
      <c r="X490" s="279"/>
      <c r="Y490" s="279"/>
      <c r="Z490" s="279"/>
      <c r="AA490" s="279"/>
      <c r="AB490" s="279"/>
      <c r="AC490" s="279"/>
      <c r="AD490" s="279"/>
      <c r="AE490" s="279"/>
      <c r="AF490" s="279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80"/>
      <c r="AR490" s="280"/>
      <c r="AS490" s="280"/>
      <c r="AT490" s="280"/>
    </row>
    <row r="491" ht="14.2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78"/>
      <c r="U491" s="278"/>
      <c r="V491" s="279"/>
      <c r="W491" s="279"/>
      <c r="X491" s="279"/>
      <c r="Y491" s="279"/>
      <c r="Z491" s="279"/>
      <c r="AA491" s="279"/>
      <c r="AB491" s="279"/>
      <c r="AC491" s="279"/>
      <c r="AD491" s="279"/>
      <c r="AE491" s="279"/>
      <c r="AF491" s="279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80"/>
      <c r="AR491" s="280"/>
      <c r="AS491" s="280"/>
      <c r="AT491" s="280"/>
    </row>
    <row r="492" ht="14.2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78"/>
      <c r="U492" s="278"/>
      <c r="V492" s="279"/>
      <c r="W492" s="279"/>
      <c r="X492" s="279"/>
      <c r="Y492" s="279"/>
      <c r="Z492" s="279"/>
      <c r="AA492" s="279"/>
      <c r="AB492" s="279"/>
      <c r="AC492" s="279"/>
      <c r="AD492" s="279"/>
      <c r="AE492" s="279"/>
      <c r="AF492" s="279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80"/>
      <c r="AR492" s="280"/>
      <c r="AS492" s="280"/>
      <c r="AT492" s="280"/>
    </row>
    <row r="493" ht="14.2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78"/>
      <c r="U493" s="278"/>
      <c r="V493" s="279"/>
      <c r="W493" s="279"/>
      <c r="X493" s="279"/>
      <c r="Y493" s="279"/>
      <c r="Z493" s="279"/>
      <c r="AA493" s="279"/>
      <c r="AB493" s="279"/>
      <c r="AC493" s="279"/>
      <c r="AD493" s="279"/>
      <c r="AE493" s="279"/>
      <c r="AF493" s="279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80"/>
      <c r="AR493" s="280"/>
      <c r="AS493" s="280"/>
      <c r="AT493" s="280"/>
    </row>
    <row r="494" ht="14.2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78"/>
      <c r="U494" s="278"/>
      <c r="V494" s="279"/>
      <c r="W494" s="279"/>
      <c r="X494" s="279"/>
      <c r="Y494" s="279"/>
      <c r="Z494" s="279"/>
      <c r="AA494" s="279"/>
      <c r="AB494" s="279"/>
      <c r="AC494" s="279"/>
      <c r="AD494" s="279"/>
      <c r="AE494" s="279"/>
      <c r="AF494" s="279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80"/>
      <c r="AR494" s="280"/>
      <c r="AS494" s="280"/>
      <c r="AT494" s="280"/>
    </row>
    <row r="495" ht="14.2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78"/>
      <c r="U495" s="278"/>
      <c r="V495" s="279"/>
      <c r="W495" s="279"/>
      <c r="X495" s="279"/>
      <c r="Y495" s="279"/>
      <c r="Z495" s="279"/>
      <c r="AA495" s="279"/>
      <c r="AB495" s="279"/>
      <c r="AC495" s="279"/>
      <c r="AD495" s="279"/>
      <c r="AE495" s="279"/>
      <c r="AF495" s="279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80"/>
      <c r="AR495" s="280"/>
      <c r="AS495" s="280"/>
      <c r="AT495" s="280"/>
    </row>
    <row r="496" ht="14.2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78"/>
      <c r="U496" s="278"/>
      <c r="V496" s="279"/>
      <c r="W496" s="279"/>
      <c r="X496" s="279"/>
      <c r="Y496" s="279"/>
      <c r="Z496" s="279"/>
      <c r="AA496" s="279"/>
      <c r="AB496" s="279"/>
      <c r="AC496" s="279"/>
      <c r="AD496" s="279"/>
      <c r="AE496" s="279"/>
      <c r="AF496" s="279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80"/>
      <c r="AR496" s="280"/>
      <c r="AS496" s="280"/>
      <c r="AT496" s="280"/>
    </row>
    <row r="497" ht="14.2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78"/>
      <c r="U497" s="278"/>
      <c r="V497" s="279"/>
      <c r="W497" s="279"/>
      <c r="X497" s="279"/>
      <c r="Y497" s="279"/>
      <c r="Z497" s="279"/>
      <c r="AA497" s="279"/>
      <c r="AB497" s="279"/>
      <c r="AC497" s="279"/>
      <c r="AD497" s="279"/>
      <c r="AE497" s="279"/>
      <c r="AF497" s="279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80"/>
      <c r="AR497" s="280"/>
      <c r="AS497" s="280"/>
      <c r="AT497" s="280"/>
    </row>
    <row r="498" ht="14.2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78"/>
      <c r="U498" s="278"/>
      <c r="V498" s="279"/>
      <c r="W498" s="279"/>
      <c r="X498" s="279"/>
      <c r="Y498" s="279"/>
      <c r="Z498" s="279"/>
      <c r="AA498" s="279"/>
      <c r="AB498" s="279"/>
      <c r="AC498" s="279"/>
      <c r="AD498" s="279"/>
      <c r="AE498" s="279"/>
      <c r="AF498" s="279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80"/>
      <c r="AR498" s="280"/>
      <c r="AS498" s="280"/>
      <c r="AT498" s="280"/>
    </row>
    <row r="499" ht="14.2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78"/>
      <c r="U499" s="278"/>
      <c r="V499" s="279"/>
      <c r="W499" s="279"/>
      <c r="X499" s="279"/>
      <c r="Y499" s="279"/>
      <c r="Z499" s="279"/>
      <c r="AA499" s="279"/>
      <c r="AB499" s="279"/>
      <c r="AC499" s="279"/>
      <c r="AD499" s="279"/>
      <c r="AE499" s="279"/>
      <c r="AF499" s="279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80"/>
      <c r="AR499" s="280"/>
      <c r="AS499" s="280"/>
      <c r="AT499" s="280"/>
    </row>
    <row r="500" ht="14.2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78"/>
      <c r="U500" s="278"/>
      <c r="V500" s="279"/>
      <c r="W500" s="279"/>
      <c r="X500" s="279"/>
      <c r="Y500" s="279"/>
      <c r="Z500" s="279"/>
      <c r="AA500" s="279"/>
      <c r="AB500" s="279"/>
      <c r="AC500" s="279"/>
      <c r="AD500" s="279"/>
      <c r="AE500" s="279"/>
      <c r="AF500" s="279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80"/>
      <c r="AR500" s="280"/>
      <c r="AS500" s="280"/>
      <c r="AT500" s="280"/>
    </row>
    <row r="501" ht="14.2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78"/>
      <c r="U501" s="278"/>
      <c r="V501" s="279"/>
      <c r="W501" s="279"/>
      <c r="X501" s="279"/>
      <c r="Y501" s="279"/>
      <c r="Z501" s="279"/>
      <c r="AA501" s="279"/>
      <c r="AB501" s="279"/>
      <c r="AC501" s="279"/>
      <c r="AD501" s="279"/>
      <c r="AE501" s="279"/>
      <c r="AF501" s="279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80"/>
      <c r="AR501" s="280"/>
      <c r="AS501" s="280"/>
      <c r="AT501" s="280"/>
    </row>
    <row r="502" ht="14.2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78"/>
      <c r="U502" s="278"/>
      <c r="V502" s="279"/>
      <c r="W502" s="279"/>
      <c r="X502" s="279"/>
      <c r="Y502" s="279"/>
      <c r="Z502" s="279"/>
      <c r="AA502" s="279"/>
      <c r="AB502" s="279"/>
      <c r="AC502" s="279"/>
      <c r="AD502" s="279"/>
      <c r="AE502" s="279"/>
      <c r="AF502" s="279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80"/>
      <c r="AR502" s="280"/>
      <c r="AS502" s="280"/>
      <c r="AT502" s="280"/>
    </row>
    <row r="503" ht="14.2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78"/>
      <c r="U503" s="278"/>
      <c r="V503" s="279"/>
      <c r="W503" s="279"/>
      <c r="X503" s="279"/>
      <c r="Y503" s="279"/>
      <c r="Z503" s="279"/>
      <c r="AA503" s="279"/>
      <c r="AB503" s="279"/>
      <c r="AC503" s="279"/>
      <c r="AD503" s="279"/>
      <c r="AE503" s="279"/>
      <c r="AF503" s="279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80"/>
      <c r="AR503" s="280"/>
      <c r="AS503" s="280"/>
      <c r="AT503" s="280"/>
    </row>
    <row r="504" ht="14.2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78"/>
      <c r="U504" s="278"/>
      <c r="V504" s="279"/>
      <c r="W504" s="279"/>
      <c r="X504" s="279"/>
      <c r="Y504" s="279"/>
      <c r="Z504" s="279"/>
      <c r="AA504" s="279"/>
      <c r="AB504" s="279"/>
      <c r="AC504" s="279"/>
      <c r="AD504" s="279"/>
      <c r="AE504" s="279"/>
      <c r="AF504" s="279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80"/>
      <c r="AR504" s="280"/>
      <c r="AS504" s="280"/>
      <c r="AT504" s="280"/>
    </row>
    <row r="505" ht="14.2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78"/>
      <c r="U505" s="278"/>
      <c r="V505" s="279"/>
      <c r="W505" s="279"/>
      <c r="X505" s="279"/>
      <c r="Y505" s="279"/>
      <c r="Z505" s="279"/>
      <c r="AA505" s="279"/>
      <c r="AB505" s="279"/>
      <c r="AC505" s="279"/>
      <c r="AD505" s="279"/>
      <c r="AE505" s="279"/>
      <c r="AF505" s="279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80"/>
      <c r="AR505" s="280"/>
      <c r="AS505" s="280"/>
      <c r="AT505" s="280"/>
    </row>
    <row r="506" ht="14.2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78"/>
      <c r="U506" s="278"/>
      <c r="V506" s="279"/>
      <c r="W506" s="279"/>
      <c r="X506" s="279"/>
      <c r="Y506" s="279"/>
      <c r="Z506" s="279"/>
      <c r="AA506" s="279"/>
      <c r="AB506" s="279"/>
      <c r="AC506" s="279"/>
      <c r="AD506" s="279"/>
      <c r="AE506" s="279"/>
      <c r="AF506" s="279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80"/>
      <c r="AR506" s="280"/>
      <c r="AS506" s="280"/>
      <c r="AT506" s="280"/>
    </row>
    <row r="507" ht="14.2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78"/>
      <c r="U507" s="278"/>
      <c r="V507" s="279"/>
      <c r="W507" s="279"/>
      <c r="X507" s="279"/>
      <c r="Y507" s="279"/>
      <c r="Z507" s="279"/>
      <c r="AA507" s="279"/>
      <c r="AB507" s="279"/>
      <c r="AC507" s="279"/>
      <c r="AD507" s="279"/>
      <c r="AE507" s="279"/>
      <c r="AF507" s="279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80"/>
      <c r="AR507" s="280"/>
      <c r="AS507" s="280"/>
      <c r="AT507" s="280"/>
    </row>
    <row r="508" ht="14.2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78"/>
      <c r="U508" s="278"/>
      <c r="V508" s="279"/>
      <c r="W508" s="279"/>
      <c r="X508" s="279"/>
      <c r="Y508" s="279"/>
      <c r="Z508" s="279"/>
      <c r="AA508" s="279"/>
      <c r="AB508" s="279"/>
      <c r="AC508" s="279"/>
      <c r="AD508" s="279"/>
      <c r="AE508" s="279"/>
      <c r="AF508" s="279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80"/>
      <c r="AR508" s="280"/>
      <c r="AS508" s="280"/>
      <c r="AT508" s="280"/>
    </row>
    <row r="509" ht="14.2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78"/>
      <c r="U509" s="278"/>
      <c r="V509" s="279"/>
      <c r="W509" s="279"/>
      <c r="X509" s="279"/>
      <c r="Y509" s="279"/>
      <c r="Z509" s="279"/>
      <c r="AA509" s="279"/>
      <c r="AB509" s="279"/>
      <c r="AC509" s="279"/>
      <c r="AD509" s="279"/>
      <c r="AE509" s="279"/>
      <c r="AF509" s="279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80"/>
      <c r="AR509" s="280"/>
      <c r="AS509" s="280"/>
      <c r="AT509" s="280"/>
    </row>
    <row r="510" ht="14.2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78"/>
      <c r="U510" s="278"/>
      <c r="V510" s="279"/>
      <c r="W510" s="279"/>
      <c r="X510" s="279"/>
      <c r="Y510" s="279"/>
      <c r="Z510" s="279"/>
      <c r="AA510" s="279"/>
      <c r="AB510" s="279"/>
      <c r="AC510" s="279"/>
      <c r="AD510" s="279"/>
      <c r="AE510" s="279"/>
      <c r="AF510" s="279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80"/>
      <c r="AR510" s="280"/>
      <c r="AS510" s="280"/>
      <c r="AT510" s="280"/>
    </row>
    <row r="511" ht="14.2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78"/>
      <c r="U511" s="278"/>
      <c r="V511" s="279"/>
      <c r="W511" s="279"/>
      <c r="X511" s="279"/>
      <c r="Y511" s="279"/>
      <c r="Z511" s="279"/>
      <c r="AA511" s="279"/>
      <c r="AB511" s="279"/>
      <c r="AC511" s="279"/>
      <c r="AD511" s="279"/>
      <c r="AE511" s="279"/>
      <c r="AF511" s="279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80"/>
      <c r="AR511" s="280"/>
      <c r="AS511" s="280"/>
      <c r="AT511" s="280"/>
    </row>
    <row r="512" ht="14.2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78"/>
      <c r="U512" s="278"/>
      <c r="V512" s="279"/>
      <c r="W512" s="279"/>
      <c r="X512" s="279"/>
      <c r="Y512" s="279"/>
      <c r="Z512" s="279"/>
      <c r="AA512" s="279"/>
      <c r="AB512" s="279"/>
      <c r="AC512" s="279"/>
      <c r="AD512" s="279"/>
      <c r="AE512" s="279"/>
      <c r="AF512" s="279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80"/>
      <c r="AR512" s="280"/>
      <c r="AS512" s="280"/>
      <c r="AT512" s="280"/>
    </row>
    <row r="513" ht="14.2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78"/>
      <c r="U513" s="278"/>
      <c r="V513" s="279"/>
      <c r="W513" s="279"/>
      <c r="X513" s="279"/>
      <c r="Y513" s="279"/>
      <c r="Z513" s="279"/>
      <c r="AA513" s="279"/>
      <c r="AB513" s="279"/>
      <c r="AC513" s="279"/>
      <c r="AD513" s="279"/>
      <c r="AE513" s="279"/>
      <c r="AF513" s="279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80"/>
      <c r="AR513" s="280"/>
      <c r="AS513" s="280"/>
      <c r="AT513" s="280"/>
    </row>
    <row r="514" ht="14.2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78"/>
      <c r="U514" s="278"/>
      <c r="V514" s="279"/>
      <c r="W514" s="279"/>
      <c r="X514" s="279"/>
      <c r="Y514" s="279"/>
      <c r="Z514" s="279"/>
      <c r="AA514" s="279"/>
      <c r="AB514" s="279"/>
      <c r="AC514" s="279"/>
      <c r="AD514" s="279"/>
      <c r="AE514" s="279"/>
      <c r="AF514" s="279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80"/>
      <c r="AR514" s="280"/>
      <c r="AS514" s="280"/>
      <c r="AT514" s="280"/>
    </row>
    <row r="515" ht="14.2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78"/>
      <c r="U515" s="278"/>
      <c r="V515" s="279"/>
      <c r="W515" s="279"/>
      <c r="X515" s="279"/>
      <c r="Y515" s="279"/>
      <c r="Z515" s="279"/>
      <c r="AA515" s="279"/>
      <c r="AB515" s="279"/>
      <c r="AC515" s="279"/>
      <c r="AD515" s="279"/>
      <c r="AE515" s="279"/>
      <c r="AF515" s="279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80"/>
      <c r="AR515" s="280"/>
      <c r="AS515" s="280"/>
      <c r="AT515" s="280"/>
    </row>
    <row r="516" ht="14.2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78"/>
      <c r="U516" s="278"/>
      <c r="V516" s="279"/>
      <c r="W516" s="279"/>
      <c r="X516" s="279"/>
      <c r="Y516" s="279"/>
      <c r="Z516" s="279"/>
      <c r="AA516" s="279"/>
      <c r="AB516" s="279"/>
      <c r="AC516" s="279"/>
      <c r="AD516" s="279"/>
      <c r="AE516" s="279"/>
      <c r="AF516" s="279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80"/>
      <c r="AR516" s="280"/>
      <c r="AS516" s="280"/>
      <c r="AT516" s="280"/>
    </row>
    <row r="517" ht="14.2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78"/>
      <c r="U517" s="278"/>
      <c r="V517" s="279"/>
      <c r="W517" s="279"/>
      <c r="X517" s="279"/>
      <c r="Y517" s="279"/>
      <c r="Z517" s="279"/>
      <c r="AA517" s="279"/>
      <c r="AB517" s="279"/>
      <c r="AC517" s="279"/>
      <c r="AD517" s="279"/>
      <c r="AE517" s="279"/>
      <c r="AF517" s="279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80"/>
      <c r="AR517" s="280"/>
      <c r="AS517" s="280"/>
      <c r="AT517" s="280"/>
    </row>
    <row r="518" ht="14.2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78"/>
      <c r="U518" s="278"/>
      <c r="V518" s="279"/>
      <c r="W518" s="279"/>
      <c r="X518" s="279"/>
      <c r="Y518" s="279"/>
      <c r="Z518" s="279"/>
      <c r="AA518" s="279"/>
      <c r="AB518" s="279"/>
      <c r="AC518" s="279"/>
      <c r="AD518" s="279"/>
      <c r="AE518" s="279"/>
      <c r="AF518" s="279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80"/>
      <c r="AR518" s="280"/>
      <c r="AS518" s="280"/>
      <c r="AT518" s="280"/>
    </row>
    <row r="519" ht="14.2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78"/>
      <c r="U519" s="278"/>
      <c r="V519" s="279"/>
      <c r="W519" s="279"/>
      <c r="X519" s="279"/>
      <c r="Y519" s="279"/>
      <c r="Z519" s="279"/>
      <c r="AA519" s="279"/>
      <c r="AB519" s="279"/>
      <c r="AC519" s="279"/>
      <c r="AD519" s="279"/>
      <c r="AE519" s="279"/>
      <c r="AF519" s="279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80"/>
      <c r="AR519" s="280"/>
      <c r="AS519" s="280"/>
      <c r="AT519" s="280"/>
    </row>
    <row r="520" ht="14.2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78"/>
      <c r="U520" s="278"/>
      <c r="V520" s="279"/>
      <c r="W520" s="279"/>
      <c r="X520" s="279"/>
      <c r="Y520" s="279"/>
      <c r="Z520" s="279"/>
      <c r="AA520" s="279"/>
      <c r="AB520" s="279"/>
      <c r="AC520" s="279"/>
      <c r="AD520" s="279"/>
      <c r="AE520" s="279"/>
      <c r="AF520" s="279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80"/>
      <c r="AR520" s="280"/>
      <c r="AS520" s="280"/>
      <c r="AT520" s="280"/>
    </row>
    <row r="521" ht="14.2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78"/>
      <c r="U521" s="278"/>
      <c r="V521" s="279"/>
      <c r="W521" s="279"/>
      <c r="X521" s="279"/>
      <c r="Y521" s="279"/>
      <c r="Z521" s="279"/>
      <c r="AA521" s="279"/>
      <c r="AB521" s="279"/>
      <c r="AC521" s="279"/>
      <c r="AD521" s="279"/>
      <c r="AE521" s="279"/>
      <c r="AF521" s="279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80"/>
      <c r="AR521" s="280"/>
      <c r="AS521" s="280"/>
      <c r="AT521" s="280"/>
    </row>
    <row r="522" ht="14.2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78"/>
      <c r="U522" s="278"/>
      <c r="V522" s="279"/>
      <c r="W522" s="279"/>
      <c r="X522" s="279"/>
      <c r="Y522" s="279"/>
      <c r="Z522" s="279"/>
      <c r="AA522" s="279"/>
      <c r="AB522" s="279"/>
      <c r="AC522" s="279"/>
      <c r="AD522" s="279"/>
      <c r="AE522" s="279"/>
      <c r="AF522" s="279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80"/>
      <c r="AR522" s="280"/>
      <c r="AS522" s="280"/>
      <c r="AT522" s="280"/>
    </row>
    <row r="523" ht="14.2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78"/>
      <c r="U523" s="278"/>
      <c r="V523" s="279"/>
      <c r="W523" s="279"/>
      <c r="X523" s="279"/>
      <c r="Y523" s="279"/>
      <c r="Z523" s="279"/>
      <c r="AA523" s="279"/>
      <c r="AB523" s="279"/>
      <c r="AC523" s="279"/>
      <c r="AD523" s="279"/>
      <c r="AE523" s="279"/>
      <c r="AF523" s="279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80"/>
      <c r="AR523" s="280"/>
      <c r="AS523" s="280"/>
      <c r="AT523" s="280"/>
    </row>
    <row r="524" ht="14.2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78"/>
      <c r="U524" s="278"/>
      <c r="V524" s="279"/>
      <c r="W524" s="279"/>
      <c r="X524" s="279"/>
      <c r="Y524" s="279"/>
      <c r="Z524" s="279"/>
      <c r="AA524" s="279"/>
      <c r="AB524" s="279"/>
      <c r="AC524" s="279"/>
      <c r="AD524" s="279"/>
      <c r="AE524" s="279"/>
      <c r="AF524" s="279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80"/>
      <c r="AR524" s="280"/>
      <c r="AS524" s="280"/>
      <c r="AT524" s="280"/>
    </row>
    <row r="525" ht="14.2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78"/>
      <c r="U525" s="278"/>
      <c r="V525" s="279"/>
      <c r="W525" s="279"/>
      <c r="X525" s="279"/>
      <c r="Y525" s="279"/>
      <c r="Z525" s="279"/>
      <c r="AA525" s="279"/>
      <c r="AB525" s="279"/>
      <c r="AC525" s="279"/>
      <c r="AD525" s="279"/>
      <c r="AE525" s="279"/>
      <c r="AF525" s="279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80"/>
      <c r="AR525" s="280"/>
      <c r="AS525" s="280"/>
      <c r="AT525" s="280"/>
    </row>
    <row r="526" ht="14.2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78"/>
      <c r="U526" s="278"/>
      <c r="V526" s="279"/>
      <c r="W526" s="279"/>
      <c r="X526" s="279"/>
      <c r="Y526" s="279"/>
      <c r="Z526" s="279"/>
      <c r="AA526" s="279"/>
      <c r="AB526" s="279"/>
      <c r="AC526" s="279"/>
      <c r="AD526" s="279"/>
      <c r="AE526" s="279"/>
      <c r="AF526" s="279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80"/>
      <c r="AR526" s="280"/>
      <c r="AS526" s="280"/>
      <c r="AT526" s="280"/>
    </row>
    <row r="527" ht="14.2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78"/>
      <c r="U527" s="278"/>
      <c r="V527" s="279"/>
      <c r="W527" s="279"/>
      <c r="X527" s="279"/>
      <c r="Y527" s="279"/>
      <c r="Z527" s="279"/>
      <c r="AA527" s="279"/>
      <c r="AB527" s="279"/>
      <c r="AC527" s="279"/>
      <c r="AD527" s="279"/>
      <c r="AE527" s="279"/>
      <c r="AF527" s="279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80"/>
      <c r="AR527" s="280"/>
      <c r="AS527" s="280"/>
      <c r="AT527" s="280"/>
    </row>
    <row r="528" ht="14.2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78"/>
      <c r="U528" s="278"/>
      <c r="V528" s="279"/>
      <c r="W528" s="279"/>
      <c r="X528" s="279"/>
      <c r="Y528" s="279"/>
      <c r="Z528" s="279"/>
      <c r="AA528" s="279"/>
      <c r="AB528" s="279"/>
      <c r="AC528" s="279"/>
      <c r="AD528" s="279"/>
      <c r="AE528" s="279"/>
      <c r="AF528" s="279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80"/>
      <c r="AR528" s="280"/>
      <c r="AS528" s="280"/>
      <c r="AT528" s="280"/>
    </row>
    <row r="529" ht="14.2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78"/>
      <c r="U529" s="278"/>
      <c r="V529" s="279"/>
      <c r="W529" s="279"/>
      <c r="X529" s="279"/>
      <c r="Y529" s="279"/>
      <c r="Z529" s="279"/>
      <c r="AA529" s="279"/>
      <c r="AB529" s="279"/>
      <c r="AC529" s="279"/>
      <c r="AD529" s="279"/>
      <c r="AE529" s="279"/>
      <c r="AF529" s="279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80"/>
      <c r="AR529" s="280"/>
      <c r="AS529" s="280"/>
      <c r="AT529" s="280"/>
    </row>
    <row r="530" ht="14.2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78"/>
      <c r="U530" s="278"/>
      <c r="V530" s="279"/>
      <c r="W530" s="279"/>
      <c r="X530" s="279"/>
      <c r="Y530" s="279"/>
      <c r="Z530" s="279"/>
      <c r="AA530" s="279"/>
      <c r="AB530" s="279"/>
      <c r="AC530" s="279"/>
      <c r="AD530" s="279"/>
      <c r="AE530" s="279"/>
      <c r="AF530" s="279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80"/>
      <c r="AR530" s="280"/>
      <c r="AS530" s="280"/>
      <c r="AT530" s="280"/>
    </row>
    <row r="531" ht="14.2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78"/>
      <c r="U531" s="278"/>
      <c r="V531" s="279"/>
      <c r="W531" s="279"/>
      <c r="X531" s="279"/>
      <c r="Y531" s="279"/>
      <c r="Z531" s="279"/>
      <c r="AA531" s="279"/>
      <c r="AB531" s="279"/>
      <c r="AC531" s="279"/>
      <c r="AD531" s="279"/>
      <c r="AE531" s="279"/>
      <c r="AF531" s="279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80"/>
      <c r="AR531" s="280"/>
      <c r="AS531" s="280"/>
      <c r="AT531" s="280"/>
    </row>
    <row r="532" ht="14.2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78"/>
      <c r="U532" s="278"/>
      <c r="V532" s="279"/>
      <c r="W532" s="279"/>
      <c r="X532" s="279"/>
      <c r="Y532" s="279"/>
      <c r="Z532" s="279"/>
      <c r="AA532" s="279"/>
      <c r="AB532" s="279"/>
      <c r="AC532" s="279"/>
      <c r="AD532" s="279"/>
      <c r="AE532" s="279"/>
      <c r="AF532" s="279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80"/>
      <c r="AR532" s="280"/>
      <c r="AS532" s="280"/>
      <c r="AT532" s="280"/>
    </row>
    <row r="533" ht="14.2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78"/>
      <c r="U533" s="278"/>
      <c r="V533" s="279"/>
      <c r="W533" s="279"/>
      <c r="X533" s="279"/>
      <c r="Y533" s="279"/>
      <c r="Z533" s="279"/>
      <c r="AA533" s="279"/>
      <c r="AB533" s="279"/>
      <c r="AC533" s="279"/>
      <c r="AD533" s="279"/>
      <c r="AE533" s="279"/>
      <c r="AF533" s="279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80"/>
      <c r="AR533" s="280"/>
      <c r="AS533" s="280"/>
      <c r="AT533" s="280"/>
    </row>
    <row r="534" ht="14.2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78"/>
      <c r="U534" s="278"/>
      <c r="V534" s="279"/>
      <c r="W534" s="279"/>
      <c r="X534" s="279"/>
      <c r="Y534" s="279"/>
      <c r="Z534" s="279"/>
      <c r="AA534" s="279"/>
      <c r="AB534" s="279"/>
      <c r="AC534" s="279"/>
      <c r="AD534" s="279"/>
      <c r="AE534" s="279"/>
      <c r="AF534" s="279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80"/>
      <c r="AR534" s="280"/>
      <c r="AS534" s="280"/>
      <c r="AT534" s="280"/>
    </row>
    <row r="535" ht="14.2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78"/>
      <c r="U535" s="278"/>
      <c r="V535" s="279"/>
      <c r="W535" s="279"/>
      <c r="X535" s="279"/>
      <c r="Y535" s="279"/>
      <c r="Z535" s="279"/>
      <c r="AA535" s="279"/>
      <c r="AB535" s="279"/>
      <c r="AC535" s="279"/>
      <c r="AD535" s="279"/>
      <c r="AE535" s="279"/>
      <c r="AF535" s="279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80"/>
      <c r="AR535" s="280"/>
      <c r="AS535" s="280"/>
      <c r="AT535" s="280"/>
    </row>
    <row r="536" ht="14.2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78"/>
      <c r="U536" s="278"/>
      <c r="V536" s="279"/>
      <c r="W536" s="279"/>
      <c r="X536" s="279"/>
      <c r="Y536" s="279"/>
      <c r="Z536" s="279"/>
      <c r="AA536" s="279"/>
      <c r="AB536" s="279"/>
      <c r="AC536" s="279"/>
      <c r="AD536" s="279"/>
      <c r="AE536" s="279"/>
      <c r="AF536" s="279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80"/>
      <c r="AR536" s="280"/>
      <c r="AS536" s="280"/>
      <c r="AT536" s="280"/>
    </row>
    <row r="537" ht="14.2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78"/>
      <c r="U537" s="278"/>
      <c r="V537" s="279"/>
      <c r="W537" s="279"/>
      <c r="X537" s="279"/>
      <c r="Y537" s="279"/>
      <c r="Z537" s="279"/>
      <c r="AA537" s="279"/>
      <c r="AB537" s="279"/>
      <c r="AC537" s="279"/>
      <c r="AD537" s="279"/>
      <c r="AE537" s="279"/>
      <c r="AF537" s="279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80"/>
      <c r="AR537" s="280"/>
      <c r="AS537" s="280"/>
      <c r="AT537" s="280"/>
    </row>
    <row r="538" ht="14.2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78"/>
      <c r="U538" s="278"/>
      <c r="V538" s="279"/>
      <c r="W538" s="279"/>
      <c r="X538" s="279"/>
      <c r="Y538" s="279"/>
      <c r="Z538" s="279"/>
      <c r="AA538" s="279"/>
      <c r="AB538" s="279"/>
      <c r="AC538" s="279"/>
      <c r="AD538" s="279"/>
      <c r="AE538" s="279"/>
      <c r="AF538" s="279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80"/>
      <c r="AR538" s="280"/>
      <c r="AS538" s="280"/>
      <c r="AT538" s="280"/>
    </row>
    <row r="539" ht="14.2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78"/>
      <c r="U539" s="278"/>
      <c r="V539" s="279"/>
      <c r="W539" s="279"/>
      <c r="X539" s="279"/>
      <c r="Y539" s="279"/>
      <c r="Z539" s="279"/>
      <c r="AA539" s="279"/>
      <c r="AB539" s="279"/>
      <c r="AC539" s="279"/>
      <c r="AD539" s="279"/>
      <c r="AE539" s="279"/>
      <c r="AF539" s="279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80"/>
      <c r="AR539" s="280"/>
      <c r="AS539" s="280"/>
      <c r="AT539" s="280"/>
    </row>
    <row r="540" ht="14.2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78"/>
      <c r="U540" s="278"/>
      <c r="V540" s="279"/>
      <c r="W540" s="279"/>
      <c r="X540" s="279"/>
      <c r="Y540" s="279"/>
      <c r="Z540" s="279"/>
      <c r="AA540" s="279"/>
      <c r="AB540" s="279"/>
      <c r="AC540" s="279"/>
      <c r="AD540" s="279"/>
      <c r="AE540" s="279"/>
      <c r="AF540" s="279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80"/>
      <c r="AR540" s="280"/>
      <c r="AS540" s="280"/>
      <c r="AT540" s="280"/>
    </row>
    <row r="541" ht="14.2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78"/>
      <c r="U541" s="278"/>
      <c r="V541" s="279"/>
      <c r="W541" s="279"/>
      <c r="X541" s="279"/>
      <c r="Y541" s="279"/>
      <c r="Z541" s="279"/>
      <c r="AA541" s="279"/>
      <c r="AB541" s="279"/>
      <c r="AC541" s="279"/>
      <c r="AD541" s="279"/>
      <c r="AE541" s="279"/>
      <c r="AF541" s="279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80"/>
      <c r="AR541" s="280"/>
      <c r="AS541" s="280"/>
      <c r="AT541" s="280"/>
    </row>
    <row r="542" ht="14.2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78"/>
      <c r="U542" s="278"/>
      <c r="V542" s="279"/>
      <c r="W542" s="279"/>
      <c r="X542" s="279"/>
      <c r="Y542" s="279"/>
      <c r="Z542" s="279"/>
      <c r="AA542" s="279"/>
      <c r="AB542" s="279"/>
      <c r="AC542" s="279"/>
      <c r="AD542" s="279"/>
      <c r="AE542" s="279"/>
      <c r="AF542" s="279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80"/>
      <c r="AR542" s="280"/>
      <c r="AS542" s="280"/>
      <c r="AT542" s="280"/>
    </row>
    <row r="543" ht="14.2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78"/>
      <c r="U543" s="278"/>
      <c r="V543" s="279"/>
      <c r="W543" s="279"/>
      <c r="X543" s="279"/>
      <c r="Y543" s="279"/>
      <c r="Z543" s="279"/>
      <c r="AA543" s="279"/>
      <c r="AB543" s="279"/>
      <c r="AC543" s="279"/>
      <c r="AD543" s="279"/>
      <c r="AE543" s="279"/>
      <c r="AF543" s="279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80"/>
      <c r="AR543" s="280"/>
      <c r="AS543" s="280"/>
      <c r="AT543" s="280"/>
    </row>
    <row r="544" ht="14.2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78"/>
      <c r="U544" s="278"/>
      <c r="V544" s="279"/>
      <c r="W544" s="279"/>
      <c r="X544" s="279"/>
      <c r="Y544" s="279"/>
      <c r="Z544" s="279"/>
      <c r="AA544" s="279"/>
      <c r="AB544" s="279"/>
      <c r="AC544" s="279"/>
      <c r="AD544" s="279"/>
      <c r="AE544" s="279"/>
      <c r="AF544" s="279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80"/>
      <c r="AR544" s="280"/>
      <c r="AS544" s="280"/>
      <c r="AT544" s="280"/>
    </row>
    <row r="545" ht="14.2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78"/>
      <c r="U545" s="278"/>
      <c r="V545" s="279"/>
      <c r="W545" s="279"/>
      <c r="X545" s="279"/>
      <c r="Y545" s="279"/>
      <c r="Z545" s="279"/>
      <c r="AA545" s="279"/>
      <c r="AB545" s="279"/>
      <c r="AC545" s="279"/>
      <c r="AD545" s="279"/>
      <c r="AE545" s="279"/>
      <c r="AF545" s="279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80"/>
      <c r="AR545" s="280"/>
      <c r="AS545" s="280"/>
      <c r="AT545" s="280"/>
    </row>
    <row r="546" ht="14.2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78"/>
      <c r="U546" s="278"/>
      <c r="V546" s="279"/>
      <c r="W546" s="279"/>
      <c r="X546" s="279"/>
      <c r="Y546" s="279"/>
      <c r="Z546" s="279"/>
      <c r="AA546" s="279"/>
      <c r="AB546" s="279"/>
      <c r="AC546" s="279"/>
      <c r="AD546" s="279"/>
      <c r="AE546" s="279"/>
      <c r="AF546" s="279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80"/>
      <c r="AR546" s="280"/>
      <c r="AS546" s="280"/>
      <c r="AT546" s="280"/>
    </row>
    <row r="547" ht="14.2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78"/>
      <c r="U547" s="278"/>
      <c r="V547" s="279"/>
      <c r="W547" s="279"/>
      <c r="X547" s="279"/>
      <c r="Y547" s="279"/>
      <c r="Z547" s="279"/>
      <c r="AA547" s="279"/>
      <c r="AB547" s="279"/>
      <c r="AC547" s="279"/>
      <c r="AD547" s="279"/>
      <c r="AE547" s="279"/>
      <c r="AF547" s="279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80"/>
      <c r="AR547" s="280"/>
      <c r="AS547" s="280"/>
      <c r="AT547" s="280"/>
    </row>
    <row r="548" ht="14.2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78"/>
      <c r="U548" s="278"/>
      <c r="V548" s="279"/>
      <c r="W548" s="279"/>
      <c r="X548" s="279"/>
      <c r="Y548" s="279"/>
      <c r="Z548" s="279"/>
      <c r="AA548" s="279"/>
      <c r="AB548" s="279"/>
      <c r="AC548" s="279"/>
      <c r="AD548" s="279"/>
      <c r="AE548" s="279"/>
      <c r="AF548" s="279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80"/>
      <c r="AR548" s="280"/>
      <c r="AS548" s="280"/>
      <c r="AT548" s="280"/>
    </row>
    <row r="549" ht="14.2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78"/>
      <c r="U549" s="278"/>
      <c r="V549" s="279"/>
      <c r="W549" s="279"/>
      <c r="X549" s="279"/>
      <c r="Y549" s="279"/>
      <c r="Z549" s="279"/>
      <c r="AA549" s="279"/>
      <c r="AB549" s="279"/>
      <c r="AC549" s="279"/>
      <c r="AD549" s="279"/>
      <c r="AE549" s="279"/>
      <c r="AF549" s="279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80"/>
      <c r="AR549" s="280"/>
      <c r="AS549" s="280"/>
      <c r="AT549" s="280"/>
    </row>
    <row r="550" ht="14.2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78"/>
      <c r="U550" s="278"/>
      <c r="V550" s="279"/>
      <c r="W550" s="279"/>
      <c r="X550" s="279"/>
      <c r="Y550" s="279"/>
      <c r="Z550" s="279"/>
      <c r="AA550" s="279"/>
      <c r="AB550" s="279"/>
      <c r="AC550" s="279"/>
      <c r="AD550" s="279"/>
      <c r="AE550" s="279"/>
      <c r="AF550" s="279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80"/>
      <c r="AR550" s="280"/>
      <c r="AS550" s="280"/>
      <c r="AT550" s="280"/>
    </row>
    <row r="551" ht="14.2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78"/>
      <c r="U551" s="278"/>
      <c r="V551" s="279"/>
      <c r="W551" s="279"/>
      <c r="X551" s="279"/>
      <c r="Y551" s="279"/>
      <c r="Z551" s="279"/>
      <c r="AA551" s="279"/>
      <c r="AB551" s="279"/>
      <c r="AC551" s="279"/>
      <c r="AD551" s="279"/>
      <c r="AE551" s="279"/>
      <c r="AF551" s="279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80"/>
      <c r="AR551" s="280"/>
      <c r="AS551" s="280"/>
      <c r="AT551" s="280"/>
    </row>
    <row r="552" ht="14.2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78"/>
      <c r="U552" s="278"/>
      <c r="V552" s="279"/>
      <c r="W552" s="279"/>
      <c r="X552" s="279"/>
      <c r="Y552" s="279"/>
      <c r="Z552" s="279"/>
      <c r="AA552" s="279"/>
      <c r="AB552" s="279"/>
      <c r="AC552" s="279"/>
      <c r="AD552" s="279"/>
      <c r="AE552" s="279"/>
      <c r="AF552" s="279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80"/>
      <c r="AR552" s="280"/>
      <c r="AS552" s="280"/>
      <c r="AT552" s="280"/>
    </row>
    <row r="553" ht="14.2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78"/>
      <c r="U553" s="278"/>
      <c r="V553" s="279"/>
      <c r="W553" s="279"/>
      <c r="X553" s="279"/>
      <c r="Y553" s="279"/>
      <c r="Z553" s="279"/>
      <c r="AA553" s="279"/>
      <c r="AB553" s="279"/>
      <c r="AC553" s="279"/>
      <c r="AD553" s="279"/>
      <c r="AE553" s="279"/>
      <c r="AF553" s="279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80"/>
      <c r="AR553" s="280"/>
      <c r="AS553" s="280"/>
      <c r="AT553" s="280"/>
    </row>
    <row r="554" ht="14.2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78"/>
      <c r="U554" s="278"/>
      <c r="V554" s="279"/>
      <c r="W554" s="279"/>
      <c r="X554" s="279"/>
      <c r="Y554" s="279"/>
      <c r="Z554" s="279"/>
      <c r="AA554" s="279"/>
      <c r="AB554" s="279"/>
      <c r="AC554" s="279"/>
      <c r="AD554" s="279"/>
      <c r="AE554" s="279"/>
      <c r="AF554" s="279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80"/>
      <c r="AR554" s="280"/>
      <c r="AS554" s="280"/>
      <c r="AT554" s="280"/>
    </row>
    <row r="555" ht="14.2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78"/>
      <c r="U555" s="278"/>
      <c r="V555" s="279"/>
      <c r="W555" s="279"/>
      <c r="X555" s="279"/>
      <c r="Y555" s="279"/>
      <c r="Z555" s="279"/>
      <c r="AA555" s="279"/>
      <c r="AB555" s="279"/>
      <c r="AC555" s="279"/>
      <c r="AD555" s="279"/>
      <c r="AE555" s="279"/>
      <c r="AF555" s="279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80"/>
      <c r="AR555" s="280"/>
      <c r="AS555" s="280"/>
      <c r="AT555" s="280"/>
    </row>
    <row r="556" ht="14.2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78"/>
      <c r="U556" s="278"/>
      <c r="V556" s="279"/>
      <c r="W556" s="279"/>
      <c r="X556" s="279"/>
      <c r="Y556" s="279"/>
      <c r="Z556" s="279"/>
      <c r="AA556" s="279"/>
      <c r="AB556" s="279"/>
      <c r="AC556" s="279"/>
      <c r="AD556" s="279"/>
      <c r="AE556" s="279"/>
      <c r="AF556" s="279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80"/>
      <c r="AR556" s="280"/>
      <c r="AS556" s="280"/>
      <c r="AT556" s="280"/>
    </row>
    <row r="557" ht="14.2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78"/>
      <c r="U557" s="278"/>
      <c r="V557" s="279"/>
      <c r="W557" s="279"/>
      <c r="X557" s="279"/>
      <c r="Y557" s="279"/>
      <c r="Z557" s="279"/>
      <c r="AA557" s="279"/>
      <c r="AB557" s="279"/>
      <c r="AC557" s="279"/>
      <c r="AD557" s="279"/>
      <c r="AE557" s="279"/>
      <c r="AF557" s="279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80"/>
      <c r="AR557" s="280"/>
      <c r="AS557" s="280"/>
      <c r="AT557" s="280"/>
    </row>
    <row r="558" ht="14.2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78"/>
      <c r="U558" s="278"/>
      <c r="V558" s="279"/>
      <c r="W558" s="279"/>
      <c r="X558" s="279"/>
      <c r="Y558" s="279"/>
      <c r="Z558" s="279"/>
      <c r="AA558" s="279"/>
      <c r="AB558" s="279"/>
      <c r="AC558" s="279"/>
      <c r="AD558" s="279"/>
      <c r="AE558" s="279"/>
      <c r="AF558" s="279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80"/>
      <c r="AR558" s="280"/>
      <c r="AS558" s="280"/>
      <c r="AT558" s="280"/>
    </row>
    <row r="559" ht="14.2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78"/>
      <c r="U559" s="278"/>
      <c r="V559" s="279"/>
      <c r="W559" s="279"/>
      <c r="X559" s="279"/>
      <c r="Y559" s="279"/>
      <c r="Z559" s="279"/>
      <c r="AA559" s="279"/>
      <c r="AB559" s="279"/>
      <c r="AC559" s="279"/>
      <c r="AD559" s="279"/>
      <c r="AE559" s="279"/>
      <c r="AF559" s="279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80"/>
      <c r="AR559" s="280"/>
      <c r="AS559" s="280"/>
      <c r="AT559" s="280"/>
    </row>
    <row r="560" ht="14.2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78"/>
      <c r="U560" s="278"/>
      <c r="V560" s="279"/>
      <c r="W560" s="279"/>
      <c r="X560" s="279"/>
      <c r="Y560" s="279"/>
      <c r="Z560" s="279"/>
      <c r="AA560" s="279"/>
      <c r="AB560" s="279"/>
      <c r="AC560" s="279"/>
      <c r="AD560" s="279"/>
      <c r="AE560" s="279"/>
      <c r="AF560" s="279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80"/>
      <c r="AR560" s="280"/>
      <c r="AS560" s="280"/>
      <c r="AT560" s="280"/>
    </row>
    <row r="561" ht="14.2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78"/>
      <c r="U561" s="278"/>
      <c r="V561" s="279"/>
      <c r="W561" s="279"/>
      <c r="X561" s="279"/>
      <c r="Y561" s="279"/>
      <c r="Z561" s="279"/>
      <c r="AA561" s="279"/>
      <c r="AB561" s="279"/>
      <c r="AC561" s="279"/>
      <c r="AD561" s="279"/>
      <c r="AE561" s="279"/>
      <c r="AF561" s="279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80"/>
      <c r="AR561" s="280"/>
      <c r="AS561" s="280"/>
      <c r="AT561" s="280"/>
    </row>
    <row r="562" ht="14.2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78"/>
      <c r="U562" s="278"/>
      <c r="V562" s="279"/>
      <c r="W562" s="279"/>
      <c r="X562" s="279"/>
      <c r="Y562" s="279"/>
      <c r="Z562" s="279"/>
      <c r="AA562" s="279"/>
      <c r="AB562" s="279"/>
      <c r="AC562" s="279"/>
      <c r="AD562" s="279"/>
      <c r="AE562" s="279"/>
      <c r="AF562" s="279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80"/>
      <c r="AR562" s="280"/>
      <c r="AS562" s="280"/>
      <c r="AT562" s="280"/>
    </row>
    <row r="563" ht="14.2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78"/>
      <c r="U563" s="278"/>
      <c r="V563" s="279"/>
      <c r="W563" s="279"/>
      <c r="X563" s="279"/>
      <c r="Y563" s="279"/>
      <c r="Z563" s="279"/>
      <c r="AA563" s="279"/>
      <c r="AB563" s="279"/>
      <c r="AC563" s="279"/>
      <c r="AD563" s="279"/>
      <c r="AE563" s="279"/>
      <c r="AF563" s="279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80"/>
      <c r="AR563" s="280"/>
      <c r="AS563" s="280"/>
      <c r="AT563" s="280"/>
    </row>
    <row r="564" ht="14.2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78"/>
      <c r="U564" s="278"/>
      <c r="V564" s="279"/>
      <c r="W564" s="279"/>
      <c r="X564" s="279"/>
      <c r="Y564" s="279"/>
      <c r="Z564" s="279"/>
      <c r="AA564" s="279"/>
      <c r="AB564" s="279"/>
      <c r="AC564" s="279"/>
      <c r="AD564" s="279"/>
      <c r="AE564" s="279"/>
      <c r="AF564" s="279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80"/>
      <c r="AR564" s="280"/>
      <c r="AS564" s="280"/>
      <c r="AT564" s="280"/>
    </row>
    <row r="565" ht="14.2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78"/>
      <c r="U565" s="278"/>
      <c r="V565" s="279"/>
      <c r="W565" s="279"/>
      <c r="X565" s="279"/>
      <c r="Y565" s="279"/>
      <c r="Z565" s="279"/>
      <c r="AA565" s="279"/>
      <c r="AB565" s="279"/>
      <c r="AC565" s="279"/>
      <c r="AD565" s="279"/>
      <c r="AE565" s="279"/>
      <c r="AF565" s="279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80"/>
      <c r="AR565" s="280"/>
      <c r="AS565" s="280"/>
      <c r="AT565" s="280"/>
    </row>
    <row r="566" ht="14.2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78"/>
      <c r="U566" s="278"/>
      <c r="V566" s="279"/>
      <c r="W566" s="279"/>
      <c r="X566" s="279"/>
      <c r="Y566" s="279"/>
      <c r="Z566" s="279"/>
      <c r="AA566" s="279"/>
      <c r="AB566" s="279"/>
      <c r="AC566" s="279"/>
      <c r="AD566" s="279"/>
      <c r="AE566" s="279"/>
      <c r="AF566" s="279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80"/>
      <c r="AR566" s="280"/>
      <c r="AS566" s="280"/>
      <c r="AT566" s="280"/>
    </row>
    <row r="567" ht="14.2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78"/>
      <c r="U567" s="278"/>
      <c r="V567" s="279"/>
      <c r="W567" s="279"/>
      <c r="X567" s="279"/>
      <c r="Y567" s="279"/>
      <c r="Z567" s="279"/>
      <c r="AA567" s="279"/>
      <c r="AB567" s="279"/>
      <c r="AC567" s="279"/>
      <c r="AD567" s="279"/>
      <c r="AE567" s="279"/>
      <c r="AF567" s="279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80"/>
      <c r="AR567" s="280"/>
      <c r="AS567" s="280"/>
      <c r="AT567" s="280"/>
    </row>
    <row r="568" ht="14.2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78"/>
      <c r="U568" s="278"/>
      <c r="V568" s="279"/>
      <c r="W568" s="279"/>
      <c r="X568" s="279"/>
      <c r="Y568" s="279"/>
      <c r="Z568" s="279"/>
      <c r="AA568" s="279"/>
      <c r="AB568" s="279"/>
      <c r="AC568" s="279"/>
      <c r="AD568" s="279"/>
      <c r="AE568" s="279"/>
      <c r="AF568" s="279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80"/>
      <c r="AR568" s="280"/>
      <c r="AS568" s="280"/>
      <c r="AT568" s="280"/>
    </row>
    <row r="569" ht="14.2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78"/>
      <c r="U569" s="278"/>
      <c r="V569" s="279"/>
      <c r="W569" s="279"/>
      <c r="X569" s="279"/>
      <c r="Y569" s="279"/>
      <c r="Z569" s="279"/>
      <c r="AA569" s="279"/>
      <c r="AB569" s="279"/>
      <c r="AC569" s="279"/>
      <c r="AD569" s="279"/>
      <c r="AE569" s="279"/>
      <c r="AF569" s="279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80"/>
      <c r="AR569" s="280"/>
      <c r="AS569" s="280"/>
      <c r="AT569" s="280"/>
    </row>
    <row r="570" ht="14.2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78"/>
      <c r="U570" s="278"/>
      <c r="V570" s="279"/>
      <c r="W570" s="279"/>
      <c r="X570" s="279"/>
      <c r="Y570" s="279"/>
      <c r="Z570" s="279"/>
      <c r="AA570" s="279"/>
      <c r="AB570" s="279"/>
      <c r="AC570" s="279"/>
      <c r="AD570" s="279"/>
      <c r="AE570" s="279"/>
      <c r="AF570" s="279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80"/>
      <c r="AR570" s="280"/>
      <c r="AS570" s="280"/>
      <c r="AT570" s="280"/>
    </row>
    <row r="571" ht="14.2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78"/>
      <c r="U571" s="278"/>
      <c r="V571" s="279"/>
      <c r="W571" s="279"/>
      <c r="X571" s="279"/>
      <c r="Y571" s="279"/>
      <c r="Z571" s="279"/>
      <c r="AA571" s="279"/>
      <c r="AB571" s="279"/>
      <c r="AC571" s="279"/>
      <c r="AD571" s="279"/>
      <c r="AE571" s="279"/>
      <c r="AF571" s="279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80"/>
      <c r="AR571" s="280"/>
      <c r="AS571" s="280"/>
      <c r="AT571" s="280"/>
    </row>
    <row r="572" ht="14.2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78"/>
      <c r="U572" s="278"/>
      <c r="V572" s="279"/>
      <c r="W572" s="279"/>
      <c r="X572" s="279"/>
      <c r="Y572" s="279"/>
      <c r="Z572" s="279"/>
      <c r="AA572" s="279"/>
      <c r="AB572" s="279"/>
      <c r="AC572" s="279"/>
      <c r="AD572" s="279"/>
      <c r="AE572" s="279"/>
      <c r="AF572" s="279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80"/>
      <c r="AR572" s="280"/>
      <c r="AS572" s="280"/>
      <c r="AT572" s="280"/>
    </row>
    <row r="573" ht="14.2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78"/>
      <c r="U573" s="278"/>
      <c r="V573" s="279"/>
      <c r="W573" s="279"/>
      <c r="X573" s="279"/>
      <c r="Y573" s="279"/>
      <c r="Z573" s="279"/>
      <c r="AA573" s="279"/>
      <c r="AB573" s="279"/>
      <c r="AC573" s="279"/>
      <c r="AD573" s="279"/>
      <c r="AE573" s="279"/>
      <c r="AF573" s="279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80"/>
      <c r="AR573" s="280"/>
      <c r="AS573" s="280"/>
      <c r="AT573" s="280"/>
    </row>
    <row r="574" ht="14.2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78"/>
      <c r="U574" s="278"/>
      <c r="V574" s="279"/>
      <c r="W574" s="279"/>
      <c r="X574" s="279"/>
      <c r="Y574" s="279"/>
      <c r="Z574" s="279"/>
      <c r="AA574" s="279"/>
      <c r="AB574" s="279"/>
      <c r="AC574" s="279"/>
      <c r="AD574" s="279"/>
      <c r="AE574" s="279"/>
      <c r="AF574" s="279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80"/>
      <c r="AR574" s="280"/>
      <c r="AS574" s="280"/>
      <c r="AT574" s="280"/>
    </row>
    <row r="575" ht="14.2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78"/>
      <c r="U575" s="278"/>
      <c r="V575" s="279"/>
      <c r="W575" s="279"/>
      <c r="X575" s="279"/>
      <c r="Y575" s="279"/>
      <c r="Z575" s="279"/>
      <c r="AA575" s="279"/>
      <c r="AB575" s="279"/>
      <c r="AC575" s="279"/>
      <c r="AD575" s="279"/>
      <c r="AE575" s="279"/>
      <c r="AF575" s="279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80"/>
      <c r="AR575" s="280"/>
      <c r="AS575" s="280"/>
      <c r="AT575" s="280"/>
    </row>
    <row r="576" ht="14.2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78"/>
      <c r="U576" s="278"/>
      <c r="V576" s="279"/>
      <c r="W576" s="279"/>
      <c r="X576" s="279"/>
      <c r="Y576" s="279"/>
      <c r="Z576" s="279"/>
      <c r="AA576" s="279"/>
      <c r="AB576" s="279"/>
      <c r="AC576" s="279"/>
      <c r="AD576" s="279"/>
      <c r="AE576" s="279"/>
      <c r="AF576" s="279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80"/>
      <c r="AR576" s="280"/>
      <c r="AS576" s="280"/>
      <c r="AT576" s="280"/>
    </row>
    <row r="577" ht="14.2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78"/>
      <c r="U577" s="278"/>
      <c r="V577" s="279"/>
      <c r="W577" s="279"/>
      <c r="X577" s="279"/>
      <c r="Y577" s="279"/>
      <c r="Z577" s="279"/>
      <c r="AA577" s="279"/>
      <c r="AB577" s="279"/>
      <c r="AC577" s="279"/>
      <c r="AD577" s="279"/>
      <c r="AE577" s="279"/>
      <c r="AF577" s="279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80"/>
      <c r="AR577" s="280"/>
      <c r="AS577" s="280"/>
      <c r="AT577" s="280"/>
    </row>
    <row r="578" ht="14.2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78"/>
      <c r="U578" s="278"/>
      <c r="V578" s="279"/>
      <c r="W578" s="279"/>
      <c r="X578" s="279"/>
      <c r="Y578" s="279"/>
      <c r="Z578" s="279"/>
      <c r="AA578" s="279"/>
      <c r="AB578" s="279"/>
      <c r="AC578" s="279"/>
      <c r="AD578" s="279"/>
      <c r="AE578" s="279"/>
      <c r="AF578" s="279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80"/>
      <c r="AR578" s="280"/>
      <c r="AS578" s="280"/>
      <c r="AT578" s="280"/>
    </row>
    <row r="579" ht="14.2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78"/>
      <c r="U579" s="278"/>
      <c r="V579" s="279"/>
      <c r="W579" s="279"/>
      <c r="X579" s="279"/>
      <c r="Y579" s="279"/>
      <c r="Z579" s="279"/>
      <c r="AA579" s="279"/>
      <c r="AB579" s="279"/>
      <c r="AC579" s="279"/>
      <c r="AD579" s="279"/>
      <c r="AE579" s="279"/>
      <c r="AF579" s="279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80"/>
      <c r="AR579" s="280"/>
      <c r="AS579" s="280"/>
      <c r="AT579" s="280"/>
    </row>
    <row r="580" ht="14.2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78"/>
      <c r="U580" s="278"/>
      <c r="V580" s="279"/>
      <c r="W580" s="279"/>
      <c r="X580" s="279"/>
      <c r="Y580" s="279"/>
      <c r="Z580" s="279"/>
      <c r="AA580" s="279"/>
      <c r="AB580" s="279"/>
      <c r="AC580" s="279"/>
      <c r="AD580" s="279"/>
      <c r="AE580" s="279"/>
      <c r="AF580" s="279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80"/>
      <c r="AR580" s="280"/>
      <c r="AS580" s="280"/>
      <c r="AT580" s="280"/>
    </row>
    <row r="581" ht="14.2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78"/>
      <c r="U581" s="278"/>
      <c r="V581" s="279"/>
      <c r="W581" s="279"/>
      <c r="X581" s="279"/>
      <c r="Y581" s="279"/>
      <c r="Z581" s="279"/>
      <c r="AA581" s="279"/>
      <c r="AB581" s="279"/>
      <c r="AC581" s="279"/>
      <c r="AD581" s="279"/>
      <c r="AE581" s="279"/>
      <c r="AF581" s="279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80"/>
      <c r="AR581" s="280"/>
      <c r="AS581" s="280"/>
      <c r="AT581" s="280"/>
    </row>
    <row r="582" ht="14.2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78"/>
      <c r="U582" s="278"/>
      <c r="V582" s="279"/>
      <c r="W582" s="279"/>
      <c r="X582" s="279"/>
      <c r="Y582" s="279"/>
      <c r="Z582" s="279"/>
      <c r="AA582" s="279"/>
      <c r="AB582" s="279"/>
      <c r="AC582" s="279"/>
      <c r="AD582" s="279"/>
      <c r="AE582" s="279"/>
      <c r="AF582" s="279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80"/>
      <c r="AR582" s="280"/>
      <c r="AS582" s="280"/>
      <c r="AT582" s="280"/>
    </row>
    <row r="583" ht="14.2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78"/>
      <c r="U583" s="278"/>
      <c r="V583" s="279"/>
      <c r="W583" s="279"/>
      <c r="X583" s="279"/>
      <c r="Y583" s="279"/>
      <c r="Z583" s="279"/>
      <c r="AA583" s="279"/>
      <c r="AB583" s="279"/>
      <c r="AC583" s="279"/>
      <c r="AD583" s="279"/>
      <c r="AE583" s="279"/>
      <c r="AF583" s="279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80"/>
      <c r="AR583" s="280"/>
      <c r="AS583" s="280"/>
      <c r="AT583" s="280"/>
    </row>
    <row r="584" ht="14.2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78"/>
      <c r="U584" s="278"/>
      <c r="V584" s="279"/>
      <c r="W584" s="279"/>
      <c r="X584" s="279"/>
      <c r="Y584" s="279"/>
      <c r="Z584" s="279"/>
      <c r="AA584" s="279"/>
      <c r="AB584" s="279"/>
      <c r="AC584" s="279"/>
      <c r="AD584" s="279"/>
      <c r="AE584" s="279"/>
      <c r="AF584" s="279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80"/>
      <c r="AR584" s="280"/>
      <c r="AS584" s="280"/>
      <c r="AT584" s="280"/>
    </row>
    <row r="585" ht="14.2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78"/>
      <c r="U585" s="278"/>
      <c r="V585" s="279"/>
      <c r="W585" s="279"/>
      <c r="X585" s="279"/>
      <c r="Y585" s="279"/>
      <c r="Z585" s="279"/>
      <c r="AA585" s="279"/>
      <c r="AB585" s="279"/>
      <c r="AC585" s="279"/>
      <c r="AD585" s="279"/>
      <c r="AE585" s="279"/>
      <c r="AF585" s="279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80"/>
      <c r="AR585" s="280"/>
      <c r="AS585" s="280"/>
      <c r="AT585" s="280"/>
    </row>
    <row r="586" ht="14.2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78"/>
      <c r="U586" s="278"/>
      <c r="V586" s="279"/>
      <c r="W586" s="279"/>
      <c r="X586" s="279"/>
      <c r="Y586" s="279"/>
      <c r="Z586" s="279"/>
      <c r="AA586" s="279"/>
      <c r="AB586" s="279"/>
      <c r="AC586" s="279"/>
      <c r="AD586" s="279"/>
      <c r="AE586" s="279"/>
      <c r="AF586" s="279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80"/>
      <c r="AR586" s="280"/>
      <c r="AS586" s="280"/>
      <c r="AT586" s="280"/>
    </row>
    <row r="587" ht="14.2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78"/>
      <c r="U587" s="278"/>
      <c r="V587" s="279"/>
      <c r="W587" s="279"/>
      <c r="X587" s="279"/>
      <c r="Y587" s="279"/>
      <c r="Z587" s="279"/>
      <c r="AA587" s="279"/>
      <c r="AB587" s="279"/>
      <c r="AC587" s="279"/>
      <c r="AD587" s="279"/>
      <c r="AE587" s="279"/>
      <c r="AF587" s="279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80"/>
      <c r="AR587" s="280"/>
      <c r="AS587" s="280"/>
      <c r="AT587" s="280"/>
    </row>
    <row r="588" ht="14.2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78"/>
      <c r="U588" s="278"/>
      <c r="V588" s="279"/>
      <c r="W588" s="279"/>
      <c r="X588" s="279"/>
      <c r="Y588" s="279"/>
      <c r="Z588" s="279"/>
      <c r="AA588" s="279"/>
      <c r="AB588" s="279"/>
      <c r="AC588" s="279"/>
      <c r="AD588" s="279"/>
      <c r="AE588" s="279"/>
      <c r="AF588" s="279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80"/>
      <c r="AR588" s="280"/>
      <c r="AS588" s="280"/>
      <c r="AT588" s="280"/>
    </row>
    <row r="589" ht="14.2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78"/>
      <c r="U589" s="278"/>
      <c r="V589" s="279"/>
      <c r="W589" s="279"/>
      <c r="X589" s="279"/>
      <c r="Y589" s="279"/>
      <c r="Z589" s="279"/>
      <c r="AA589" s="279"/>
      <c r="AB589" s="279"/>
      <c r="AC589" s="279"/>
      <c r="AD589" s="279"/>
      <c r="AE589" s="279"/>
      <c r="AF589" s="279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80"/>
      <c r="AR589" s="280"/>
      <c r="AS589" s="280"/>
      <c r="AT589" s="280"/>
    </row>
    <row r="590" ht="14.2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78"/>
      <c r="U590" s="278"/>
      <c r="V590" s="279"/>
      <c r="W590" s="279"/>
      <c r="X590" s="279"/>
      <c r="Y590" s="279"/>
      <c r="Z590" s="279"/>
      <c r="AA590" s="279"/>
      <c r="AB590" s="279"/>
      <c r="AC590" s="279"/>
      <c r="AD590" s="279"/>
      <c r="AE590" s="279"/>
      <c r="AF590" s="279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80"/>
      <c r="AR590" s="280"/>
      <c r="AS590" s="280"/>
      <c r="AT590" s="280"/>
    </row>
    <row r="591" ht="14.2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78"/>
      <c r="U591" s="278"/>
      <c r="V591" s="279"/>
      <c r="W591" s="279"/>
      <c r="X591" s="279"/>
      <c r="Y591" s="279"/>
      <c r="Z591" s="279"/>
      <c r="AA591" s="279"/>
      <c r="AB591" s="279"/>
      <c r="AC591" s="279"/>
      <c r="AD591" s="279"/>
      <c r="AE591" s="279"/>
      <c r="AF591" s="279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80"/>
      <c r="AR591" s="280"/>
      <c r="AS591" s="280"/>
      <c r="AT591" s="280"/>
    </row>
    <row r="592" ht="14.2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78"/>
      <c r="U592" s="278"/>
      <c r="V592" s="279"/>
      <c r="W592" s="279"/>
      <c r="X592" s="279"/>
      <c r="Y592" s="279"/>
      <c r="Z592" s="279"/>
      <c r="AA592" s="279"/>
      <c r="AB592" s="279"/>
      <c r="AC592" s="279"/>
      <c r="AD592" s="279"/>
      <c r="AE592" s="279"/>
      <c r="AF592" s="279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80"/>
      <c r="AR592" s="280"/>
      <c r="AS592" s="280"/>
      <c r="AT592" s="280"/>
    </row>
    <row r="593" ht="14.2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78"/>
      <c r="U593" s="278"/>
      <c r="V593" s="279"/>
      <c r="W593" s="279"/>
      <c r="X593" s="279"/>
      <c r="Y593" s="279"/>
      <c r="Z593" s="279"/>
      <c r="AA593" s="279"/>
      <c r="AB593" s="279"/>
      <c r="AC593" s="279"/>
      <c r="AD593" s="279"/>
      <c r="AE593" s="279"/>
      <c r="AF593" s="279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80"/>
      <c r="AR593" s="280"/>
      <c r="AS593" s="280"/>
      <c r="AT593" s="280"/>
    </row>
    <row r="594" ht="14.2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78"/>
      <c r="U594" s="278"/>
      <c r="V594" s="279"/>
      <c r="W594" s="279"/>
      <c r="X594" s="279"/>
      <c r="Y594" s="279"/>
      <c r="Z594" s="279"/>
      <c r="AA594" s="279"/>
      <c r="AB594" s="279"/>
      <c r="AC594" s="279"/>
      <c r="AD594" s="279"/>
      <c r="AE594" s="279"/>
      <c r="AF594" s="279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80"/>
      <c r="AR594" s="280"/>
      <c r="AS594" s="280"/>
      <c r="AT594" s="280"/>
    </row>
    <row r="595" ht="14.2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78"/>
      <c r="U595" s="278"/>
      <c r="V595" s="279"/>
      <c r="W595" s="279"/>
      <c r="X595" s="279"/>
      <c r="Y595" s="279"/>
      <c r="Z595" s="279"/>
      <c r="AA595" s="279"/>
      <c r="AB595" s="279"/>
      <c r="AC595" s="279"/>
      <c r="AD595" s="279"/>
      <c r="AE595" s="279"/>
      <c r="AF595" s="279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80"/>
      <c r="AR595" s="280"/>
      <c r="AS595" s="280"/>
      <c r="AT595" s="280"/>
    </row>
    <row r="596" ht="14.2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78"/>
      <c r="U596" s="278"/>
      <c r="V596" s="279"/>
      <c r="W596" s="279"/>
      <c r="X596" s="279"/>
      <c r="Y596" s="279"/>
      <c r="Z596" s="279"/>
      <c r="AA596" s="279"/>
      <c r="AB596" s="279"/>
      <c r="AC596" s="279"/>
      <c r="AD596" s="279"/>
      <c r="AE596" s="279"/>
      <c r="AF596" s="279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80"/>
      <c r="AR596" s="280"/>
      <c r="AS596" s="280"/>
      <c r="AT596" s="280"/>
    </row>
    <row r="597" ht="14.2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78"/>
      <c r="U597" s="278"/>
      <c r="V597" s="279"/>
      <c r="W597" s="279"/>
      <c r="X597" s="279"/>
      <c r="Y597" s="279"/>
      <c r="Z597" s="279"/>
      <c r="AA597" s="279"/>
      <c r="AB597" s="279"/>
      <c r="AC597" s="279"/>
      <c r="AD597" s="279"/>
      <c r="AE597" s="279"/>
      <c r="AF597" s="279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80"/>
      <c r="AR597" s="280"/>
      <c r="AS597" s="280"/>
      <c r="AT597" s="280"/>
    </row>
    <row r="598" ht="14.2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78"/>
      <c r="U598" s="278"/>
      <c r="V598" s="279"/>
      <c r="W598" s="279"/>
      <c r="X598" s="279"/>
      <c r="Y598" s="279"/>
      <c r="Z598" s="279"/>
      <c r="AA598" s="279"/>
      <c r="AB598" s="279"/>
      <c r="AC598" s="279"/>
      <c r="AD598" s="279"/>
      <c r="AE598" s="279"/>
      <c r="AF598" s="279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80"/>
      <c r="AR598" s="280"/>
      <c r="AS598" s="280"/>
      <c r="AT598" s="280"/>
    </row>
    <row r="599" ht="14.2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78"/>
      <c r="U599" s="278"/>
      <c r="V599" s="279"/>
      <c r="W599" s="279"/>
      <c r="X599" s="279"/>
      <c r="Y599" s="279"/>
      <c r="Z599" s="279"/>
      <c r="AA599" s="279"/>
      <c r="AB599" s="279"/>
      <c r="AC599" s="279"/>
      <c r="AD599" s="279"/>
      <c r="AE599" s="279"/>
      <c r="AF599" s="279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80"/>
      <c r="AR599" s="280"/>
      <c r="AS599" s="280"/>
      <c r="AT599" s="280"/>
    </row>
    <row r="600" ht="14.2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78"/>
      <c r="U600" s="278"/>
      <c r="V600" s="279"/>
      <c r="W600" s="279"/>
      <c r="X600" s="279"/>
      <c r="Y600" s="279"/>
      <c r="Z600" s="279"/>
      <c r="AA600" s="279"/>
      <c r="AB600" s="279"/>
      <c r="AC600" s="279"/>
      <c r="AD600" s="279"/>
      <c r="AE600" s="279"/>
      <c r="AF600" s="279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80"/>
      <c r="AR600" s="280"/>
      <c r="AS600" s="280"/>
      <c r="AT600" s="280"/>
    </row>
    <row r="601" ht="14.2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78"/>
      <c r="U601" s="278"/>
      <c r="V601" s="279"/>
      <c r="W601" s="279"/>
      <c r="X601" s="279"/>
      <c r="Y601" s="279"/>
      <c r="Z601" s="279"/>
      <c r="AA601" s="279"/>
      <c r="AB601" s="279"/>
      <c r="AC601" s="279"/>
      <c r="AD601" s="279"/>
      <c r="AE601" s="279"/>
      <c r="AF601" s="279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80"/>
      <c r="AR601" s="280"/>
      <c r="AS601" s="280"/>
      <c r="AT601" s="280"/>
    </row>
    <row r="602" ht="14.2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78"/>
      <c r="U602" s="278"/>
      <c r="V602" s="279"/>
      <c r="W602" s="279"/>
      <c r="X602" s="279"/>
      <c r="Y602" s="279"/>
      <c r="Z602" s="279"/>
      <c r="AA602" s="279"/>
      <c r="AB602" s="279"/>
      <c r="AC602" s="279"/>
      <c r="AD602" s="279"/>
      <c r="AE602" s="279"/>
      <c r="AF602" s="279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80"/>
      <c r="AR602" s="280"/>
      <c r="AS602" s="280"/>
      <c r="AT602" s="280"/>
    </row>
    <row r="603" ht="14.2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78"/>
      <c r="U603" s="278"/>
      <c r="V603" s="279"/>
      <c r="W603" s="279"/>
      <c r="X603" s="279"/>
      <c r="Y603" s="279"/>
      <c r="Z603" s="279"/>
      <c r="AA603" s="279"/>
      <c r="AB603" s="279"/>
      <c r="AC603" s="279"/>
      <c r="AD603" s="279"/>
      <c r="AE603" s="279"/>
      <c r="AF603" s="279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80"/>
      <c r="AR603" s="280"/>
      <c r="AS603" s="280"/>
      <c r="AT603" s="280"/>
    </row>
    <row r="604" ht="14.2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78"/>
      <c r="U604" s="278"/>
      <c r="V604" s="279"/>
      <c r="W604" s="279"/>
      <c r="X604" s="279"/>
      <c r="Y604" s="279"/>
      <c r="Z604" s="279"/>
      <c r="AA604" s="279"/>
      <c r="AB604" s="279"/>
      <c r="AC604" s="279"/>
      <c r="AD604" s="279"/>
      <c r="AE604" s="279"/>
      <c r="AF604" s="279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80"/>
      <c r="AR604" s="280"/>
      <c r="AS604" s="280"/>
      <c r="AT604" s="280"/>
    </row>
    <row r="605" ht="14.2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78"/>
      <c r="U605" s="278"/>
      <c r="V605" s="279"/>
      <c r="W605" s="279"/>
      <c r="X605" s="279"/>
      <c r="Y605" s="279"/>
      <c r="Z605" s="279"/>
      <c r="AA605" s="279"/>
      <c r="AB605" s="279"/>
      <c r="AC605" s="279"/>
      <c r="AD605" s="279"/>
      <c r="AE605" s="279"/>
      <c r="AF605" s="279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80"/>
      <c r="AR605" s="280"/>
      <c r="AS605" s="280"/>
      <c r="AT605" s="280"/>
    </row>
    <row r="606" ht="14.2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78"/>
      <c r="U606" s="278"/>
      <c r="V606" s="279"/>
      <c r="W606" s="279"/>
      <c r="X606" s="279"/>
      <c r="Y606" s="279"/>
      <c r="Z606" s="279"/>
      <c r="AA606" s="279"/>
      <c r="AB606" s="279"/>
      <c r="AC606" s="279"/>
      <c r="AD606" s="279"/>
      <c r="AE606" s="279"/>
      <c r="AF606" s="279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80"/>
      <c r="AR606" s="280"/>
      <c r="AS606" s="280"/>
      <c r="AT606" s="280"/>
    </row>
    <row r="607" ht="14.2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78"/>
      <c r="U607" s="278"/>
      <c r="V607" s="279"/>
      <c r="W607" s="279"/>
      <c r="X607" s="279"/>
      <c r="Y607" s="279"/>
      <c r="Z607" s="279"/>
      <c r="AA607" s="279"/>
      <c r="AB607" s="279"/>
      <c r="AC607" s="279"/>
      <c r="AD607" s="279"/>
      <c r="AE607" s="279"/>
      <c r="AF607" s="279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80"/>
      <c r="AR607" s="280"/>
      <c r="AS607" s="280"/>
      <c r="AT607" s="280"/>
    </row>
    <row r="608" ht="14.2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78"/>
      <c r="U608" s="278"/>
      <c r="V608" s="279"/>
      <c r="W608" s="279"/>
      <c r="X608" s="279"/>
      <c r="Y608" s="279"/>
      <c r="Z608" s="279"/>
      <c r="AA608" s="279"/>
      <c r="AB608" s="279"/>
      <c r="AC608" s="279"/>
      <c r="AD608" s="279"/>
      <c r="AE608" s="279"/>
      <c r="AF608" s="279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80"/>
      <c r="AR608" s="280"/>
      <c r="AS608" s="280"/>
      <c r="AT608" s="280"/>
    </row>
    <row r="609" ht="14.2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78"/>
      <c r="U609" s="278"/>
      <c r="V609" s="279"/>
      <c r="W609" s="279"/>
      <c r="X609" s="279"/>
      <c r="Y609" s="279"/>
      <c r="Z609" s="279"/>
      <c r="AA609" s="279"/>
      <c r="AB609" s="279"/>
      <c r="AC609" s="279"/>
      <c r="AD609" s="279"/>
      <c r="AE609" s="279"/>
      <c r="AF609" s="279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80"/>
      <c r="AR609" s="280"/>
      <c r="AS609" s="280"/>
      <c r="AT609" s="280"/>
    </row>
    <row r="610" ht="14.2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78"/>
      <c r="U610" s="278"/>
      <c r="V610" s="279"/>
      <c r="W610" s="279"/>
      <c r="X610" s="279"/>
      <c r="Y610" s="279"/>
      <c r="Z610" s="279"/>
      <c r="AA610" s="279"/>
      <c r="AB610" s="279"/>
      <c r="AC610" s="279"/>
      <c r="AD610" s="279"/>
      <c r="AE610" s="279"/>
      <c r="AF610" s="279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80"/>
      <c r="AR610" s="280"/>
      <c r="AS610" s="280"/>
      <c r="AT610" s="280"/>
    </row>
    <row r="611" ht="14.2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78"/>
      <c r="U611" s="278"/>
      <c r="V611" s="279"/>
      <c r="W611" s="279"/>
      <c r="X611" s="279"/>
      <c r="Y611" s="279"/>
      <c r="Z611" s="279"/>
      <c r="AA611" s="279"/>
      <c r="AB611" s="279"/>
      <c r="AC611" s="279"/>
      <c r="AD611" s="279"/>
      <c r="AE611" s="279"/>
      <c r="AF611" s="279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80"/>
      <c r="AR611" s="280"/>
      <c r="AS611" s="280"/>
      <c r="AT611" s="280"/>
    </row>
    <row r="612" ht="14.2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78"/>
      <c r="U612" s="278"/>
      <c r="V612" s="279"/>
      <c r="W612" s="279"/>
      <c r="X612" s="279"/>
      <c r="Y612" s="279"/>
      <c r="Z612" s="279"/>
      <c r="AA612" s="279"/>
      <c r="AB612" s="279"/>
      <c r="AC612" s="279"/>
      <c r="AD612" s="279"/>
      <c r="AE612" s="279"/>
      <c r="AF612" s="279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80"/>
      <c r="AR612" s="280"/>
      <c r="AS612" s="280"/>
      <c r="AT612" s="280"/>
    </row>
    <row r="613" ht="14.2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78"/>
      <c r="U613" s="278"/>
      <c r="V613" s="279"/>
      <c r="W613" s="279"/>
      <c r="X613" s="279"/>
      <c r="Y613" s="279"/>
      <c r="Z613" s="279"/>
      <c r="AA613" s="279"/>
      <c r="AB613" s="279"/>
      <c r="AC613" s="279"/>
      <c r="AD613" s="279"/>
      <c r="AE613" s="279"/>
      <c r="AF613" s="279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80"/>
      <c r="AR613" s="280"/>
      <c r="AS613" s="280"/>
      <c r="AT613" s="280"/>
    </row>
    <row r="614" ht="14.2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78"/>
      <c r="U614" s="278"/>
      <c r="V614" s="279"/>
      <c r="W614" s="279"/>
      <c r="X614" s="279"/>
      <c r="Y614" s="279"/>
      <c r="Z614" s="279"/>
      <c r="AA614" s="279"/>
      <c r="AB614" s="279"/>
      <c r="AC614" s="279"/>
      <c r="AD614" s="279"/>
      <c r="AE614" s="279"/>
      <c r="AF614" s="279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80"/>
      <c r="AR614" s="280"/>
      <c r="AS614" s="280"/>
      <c r="AT614" s="280"/>
    </row>
    <row r="615" ht="14.2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78"/>
      <c r="U615" s="278"/>
      <c r="V615" s="279"/>
      <c r="W615" s="279"/>
      <c r="X615" s="279"/>
      <c r="Y615" s="279"/>
      <c r="Z615" s="279"/>
      <c r="AA615" s="279"/>
      <c r="AB615" s="279"/>
      <c r="AC615" s="279"/>
      <c r="AD615" s="279"/>
      <c r="AE615" s="279"/>
      <c r="AF615" s="279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80"/>
      <c r="AR615" s="280"/>
      <c r="AS615" s="280"/>
      <c r="AT615" s="280"/>
    </row>
    <row r="616" ht="14.2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78"/>
      <c r="U616" s="278"/>
      <c r="V616" s="279"/>
      <c r="W616" s="279"/>
      <c r="X616" s="279"/>
      <c r="Y616" s="279"/>
      <c r="Z616" s="279"/>
      <c r="AA616" s="279"/>
      <c r="AB616" s="279"/>
      <c r="AC616" s="279"/>
      <c r="AD616" s="279"/>
      <c r="AE616" s="279"/>
      <c r="AF616" s="279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80"/>
      <c r="AR616" s="280"/>
      <c r="AS616" s="280"/>
      <c r="AT616" s="280"/>
    </row>
    <row r="617" ht="14.2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78"/>
      <c r="U617" s="278"/>
      <c r="V617" s="279"/>
      <c r="W617" s="279"/>
      <c r="X617" s="279"/>
      <c r="Y617" s="279"/>
      <c r="Z617" s="279"/>
      <c r="AA617" s="279"/>
      <c r="AB617" s="279"/>
      <c r="AC617" s="279"/>
      <c r="AD617" s="279"/>
      <c r="AE617" s="279"/>
      <c r="AF617" s="279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80"/>
      <c r="AR617" s="280"/>
      <c r="AS617" s="280"/>
      <c r="AT617" s="280"/>
    </row>
    <row r="618" ht="14.2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78"/>
      <c r="U618" s="278"/>
      <c r="V618" s="279"/>
      <c r="W618" s="279"/>
      <c r="X618" s="279"/>
      <c r="Y618" s="279"/>
      <c r="Z618" s="279"/>
      <c r="AA618" s="279"/>
      <c r="AB618" s="279"/>
      <c r="AC618" s="279"/>
      <c r="AD618" s="279"/>
      <c r="AE618" s="279"/>
      <c r="AF618" s="279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80"/>
      <c r="AR618" s="280"/>
      <c r="AS618" s="280"/>
      <c r="AT618" s="280"/>
    </row>
    <row r="619" ht="14.2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78"/>
      <c r="U619" s="278"/>
      <c r="V619" s="279"/>
      <c r="W619" s="279"/>
      <c r="X619" s="279"/>
      <c r="Y619" s="279"/>
      <c r="Z619" s="279"/>
      <c r="AA619" s="279"/>
      <c r="AB619" s="279"/>
      <c r="AC619" s="279"/>
      <c r="AD619" s="279"/>
      <c r="AE619" s="279"/>
      <c r="AF619" s="279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80"/>
      <c r="AR619" s="280"/>
      <c r="AS619" s="280"/>
      <c r="AT619" s="280"/>
    </row>
    <row r="620" ht="14.2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78"/>
      <c r="U620" s="278"/>
      <c r="V620" s="279"/>
      <c r="W620" s="279"/>
      <c r="X620" s="279"/>
      <c r="Y620" s="279"/>
      <c r="Z620" s="279"/>
      <c r="AA620" s="279"/>
      <c r="AB620" s="279"/>
      <c r="AC620" s="279"/>
      <c r="AD620" s="279"/>
      <c r="AE620" s="279"/>
      <c r="AF620" s="279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80"/>
      <c r="AR620" s="280"/>
      <c r="AS620" s="280"/>
      <c r="AT620" s="280"/>
    </row>
    <row r="621" ht="14.2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78"/>
      <c r="U621" s="278"/>
      <c r="V621" s="279"/>
      <c r="W621" s="279"/>
      <c r="X621" s="279"/>
      <c r="Y621" s="279"/>
      <c r="Z621" s="279"/>
      <c r="AA621" s="279"/>
      <c r="AB621" s="279"/>
      <c r="AC621" s="279"/>
      <c r="AD621" s="279"/>
      <c r="AE621" s="279"/>
      <c r="AF621" s="279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80"/>
      <c r="AR621" s="280"/>
      <c r="AS621" s="280"/>
      <c r="AT621" s="280"/>
    </row>
    <row r="622" ht="14.2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78"/>
      <c r="U622" s="278"/>
      <c r="V622" s="279"/>
      <c r="W622" s="279"/>
      <c r="X622" s="279"/>
      <c r="Y622" s="279"/>
      <c r="Z622" s="279"/>
      <c r="AA622" s="279"/>
      <c r="AB622" s="279"/>
      <c r="AC622" s="279"/>
      <c r="AD622" s="279"/>
      <c r="AE622" s="279"/>
      <c r="AF622" s="279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80"/>
      <c r="AR622" s="280"/>
      <c r="AS622" s="280"/>
      <c r="AT622" s="280"/>
    </row>
    <row r="623" ht="14.2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78"/>
      <c r="U623" s="278"/>
      <c r="V623" s="279"/>
      <c r="W623" s="279"/>
      <c r="X623" s="279"/>
      <c r="Y623" s="279"/>
      <c r="Z623" s="279"/>
      <c r="AA623" s="279"/>
      <c r="AB623" s="279"/>
      <c r="AC623" s="279"/>
      <c r="AD623" s="279"/>
      <c r="AE623" s="279"/>
      <c r="AF623" s="279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80"/>
      <c r="AR623" s="280"/>
      <c r="AS623" s="280"/>
      <c r="AT623" s="280"/>
    </row>
    <row r="624" ht="14.2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78"/>
      <c r="U624" s="278"/>
      <c r="V624" s="279"/>
      <c r="W624" s="279"/>
      <c r="X624" s="279"/>
      <c r="Y624" s="279"/>
      <c r="Z624" s="279"/>
      <c r="AA624" s="279"/>
      <c r="AB624" s="279"/>
      <c r="AC624" s="279"/>
      <c r="AD624" s="279"/>
      <c r="AE624" s="279"/>
      <c r="AF624" s="279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80"/>
      <c r="AR624" s="280"/>
      <c r="AS624" s="280"/>
      <c r="AT624" s="280"/>
    </row>
    <row r="625" ht="14.2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78"/>
      <c r="U625" s="278"/>
      <c r="V625" s="279"/>
      <c r="W625" s="279"/>
      <c r="X625" s="279"/>
      <c r="Y625" s="279"/>
      <c r="Z625" s="279"/>
      <c r="AA625" s="279"/>
      <c r="AB625" s="279"/>
      <c r="AC625" s="279"/>
      <c r="AD625" s="279"/>
      <c r="AE625" s="279"/>
      <c r="AF625" s="279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80"/>
      <c r="AR625" s="280"/>
      <c r="AS625" s="280"/>
      <c r="AT625" s="280"/>
    </row>
    <row r="626" ht="14.2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78"/>
      <c r="U626" s="278"/>
      <c r="V626" s="279"/>
      <c r="W626" s="279"/>
      <c r="X626" s="279"/>
      <c r="Y626" s="279"/>
      <c r="Z626" s="279"/>
      <c r="AA626" s="279"/>
      <c r="AB626" s="279"/>
      <c r="AC626" s="279"/>
      <c r="AD626" s="279"/>
      <c r="AE626" s="279"/>
      <c r="AF626" s="279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80"/>
      <c r="AR626" s="280"/>
      <c r="AS626" s="280"/>
      <c r="AT626" s="280"/>
    </row>
    <row r="627" ht="14.2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78"/>
      <c r="U627" s="278"/>
      <c r="V627" s="279"/>
      <c r="W627" s="279"/>
      <c r="X627" s="279"/>
      <c r="Y627" s="279"/>
      <c r="Z627" s="279"/>
      <c r="AA627" s="279"/>
      <c r="AB627" s="279"/>
      <c r="AC627" s="279"/>
      <c r="AD627" s="279"/>
      <c r="AE627" s="279"/>
      <c r="AF627" s="279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80"/>
      <c r="AR627" s="280"/>
      <c r="AS627" s="280"/>
      <c r="AT627" s="280"/>
    </row>
    <row r="628" ht="14.2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78"/>
      <c r="U628" s="278"/>
      <c r="V628" s="279"/>
      <c r="W628" s="279"/>
      <c r="X628" s="279"/>
      <c r="Y628" s="279"/>
      <c r="Z628" s="279"/>
      <c r="AA628" s="279"/>
      <c r="AB628" s="279"/>
      <c r="AC628" s="279"/>
      <c r="AD628" s="279"/>
      <c r="AE628" s="279"/>
      <c r="AF628" s="279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80"/>
      <c r="AR628" s="280"/>
      <c r="AS628" s="280"/>
      <c r="AT628" s="280"/>
    </row>
    <row r="629" ht="14.2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78"/>
      <c r="U629" s="278"/>
      <c r="V629" s="279"/>
      <c r="W629" s="279"/>
      <c r="X629" s="279"/>
      <c r="Y629" s="279"/>
      <c r="Z629" s="279"/>
      <c r="AA629" s="279"/>
      <c r="AB629" s="279"/>
      <c r="AC629" s="279"/>
      <c r="AD629" s="279"/>
      <c r="AE629" s="279"/>
      <c r="AF629" s="279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80"/>
      <c r="AR629" s="280"/>
      <c r="AS629" s="280"/>
      <c r="AT629" s="280"/>
    </row>
    <row r="630" ht="14.2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78"/>
      <c r="U630" s="278"/>
      <c r="V630" s="279"/>
      <c r="W630" s="279"/>
      <c r="X630" s="279"/>
      <c r="Y630" s="279"/>
      <c r="Z630" s="279"/>
      <c r="AA630" s="279"/>
      <c r="AB630" s="279"/>
      <c r="AC630" s="279"/>
      <c r="AD630" s="279"/>
      <c r="AE630" s="279"/>
      <c r="AF630" s="279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80"/>
      <c r="AR630" s="280"/>
      <c r="AS630" s="280"/>
      <c r="AT630" s="280"/>
    </row>
    <row r="631" ht="14.2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78"/>
      <c r="U631" s="278"/>
      <c r="V631" s="279"/>
      <c r="W631" s="279"/>
      <c r="X631" s="279"/>
      <c r="Y631" s="279"/>
      <c r="Z631" s="279"/>
      <c r="AA631" s="279"/>
      <c r="AB631" s="279"/>
      <c r="AC631" s="279"/>
      <c r="AD631" s="279"/>
      <c r="AE631" s="279"/>
      <c r="AF631" s="279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80"/>
      <c r="AR631" s="280"/>
      <c r="AS631" s="280"/>
      <c r="AT631" s="280"/>
    </row>
    <row r="632" ht="14.2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78"/>
      <c r="U632" s="278"/>
      <c r="V632" s="279"/>
      <c r="W632" s="279"/>
      <c r="X632" s="279"/>
      <c r="Y632" s="279"/>
      <c r="Z632" s="279"/>
      <c r="AA632" s="279"/>
      <c r="AB632" s="279"/>
      <c r="AC632" s="279"/>
      <c r="AD632" s="279"/>
      <c r="AE632" s="279"/>
      <c r="AF632" s="279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80"/>
      <c r="AR632" s="280"/>
      <c r="AS632" s="280"/>
      <c r="AT632" s="280"/>
    </row>
    <row r="633" ht="14.2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78"/>
      <c r="U633" s="278"/>
      <c r="V633" s="279"/>
      <c r="W633" s="279"/>
      <c r="X633" s="279"/>
      <c r="Y633" s="279"/>
      <c r="Z633" s="279"/>
      <c r="AA633" s="279"/>
      <c r="AB633" s="279"/>
      <c r="AC633" s="279"/>
      <c r="AD633" s="279"/>
      <c r="AE633" s="279"/>
      <c r="AF633" s="279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80"/>
      <c r="AR633" s="280"/>
      <c r="AS633" s="280"/>
      <c r="AT633" s="280"/>
    </row>
    <row r="634" ht="14.2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78"/>
      <c r="U634" s="278"/>
      <c r="V634" s="279"/>
      <c r="W634" s="279"/>
      <c r="X634" s="279"/>
      <c r="Y634" s="279"/>
      <c r="Z634" s="279"/>
      <c r="AA634" s="279"/>
      <c r="AB634" s="279"/>
      <c r="AC634" s="279"/>
      <c r="AD634" s="279"/>
      <c r="AE634" s="279"/>
      <c r="AF634" s="279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80"/>
      <c r="AR634" s="280"/>
      <c r="AS634" s="280"/>
      <c r="AT634" s="280"/>
    </row>
    <row r="635" ht="14.2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78"/>
      <c r="U635" s="278"/>
      <c r="V635" s="279"/>
      <c r="W635" s="279"/>
      <c r="X635" s="279"/>
      <c r="Y635" s="279"/>
      <c r="Z635" s="279"/>
      <c r="AA635" s="279"/>
      <c r="AB635" s="279"/>
      <c r="AC635" s="279"/>
      <c r="AD635" s="279"/>
      <c r="AE635" s="279"/>
      <c r="AF635" s="279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80"/>
      <c r="AR635" s="280"/>
      <c r="AS635" s="280"/>
      <c r="AT635" s="280"/>
    </row>
    <row r="636" ht="14.2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78"/>
      <c r="U636" s="278"/>
      <c r="V636" s="279"/>
      <c r="W636" s="279"/>
      <c r="X636" s="279"/>
      <c r="Y636" s="279"/>
      <c r="Z636" s="279"/>
      <c r="AA636" s="279"/>
      <c r="AB636" s="279"/>
      <c r="AC636" s="279"/>
      <c r="AD636" s="279"/>
      <c r="AE636" s="279"/>
      <c r="AF636" s="279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80"/>
      <c r="AR636" s="280"/>
      <c r="AS636" s="280"/>
      <c r="AT636" s="280"/>
    </row>
    <row r="637" ht="14.2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78"/>
      <c r="U637" s="278"/>
      <c r="V637" s="279"/>
      <c r="W637" s="279"/>
      <c r="X637" s="279"/>
      <c r="Y637" s="279"/>
      <c r="Z637" s="279"/>
      <c r="AA637" s="279"/>
      <c r="AB637" s="279"/>
      <c r="AC637" s="279"/>
      <c r="AD637" s="279"/>
      <c r="AE637" s="279"/>
      <c r="AF637" s="279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80"/>
      <c r="AR637" s="280"/>
      <c r="AS637" s="280"/>
      <c r="AT637" s="280"/>
    </row>
    <row r="638" ht="14.2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78"/>
      <c r="U638" s="278"/>
      <c r="V638" s="279"/>
      <c r="W638" s="279"/>
      <c r="X638" s="279"/>
      <c r="Y638" s="279"/>
      <c r="Z638" s="279"/>
      <c r="AA638" s="279"/>
      <c r="AB638" s="279"/>
      <c r="AC638" s="279"/>
      <c r="AD638" s="279"/>
      <c r="AE638" s="279"/>
      <c r="AF638" s="279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80"/>
      <c r="AR638" s="280"/>
      <c r="AS638" s="280"/>
      <c r="AT638" s="280"/>
    </row>
    <row r="639" ht="14.2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78"/>
      <c r="U639" s="278"/>
      <c r="V639" s="279"/>
      <c r="W639" s="279"/>
      <c r="X639" s="279"/>
      <c r="Y639" s="279"/>
      <c r="Z639" s="279"/>
      <c r="AA639" s="279"/>
      <c r="AB639" s="279"/>
      <c r="AC639" s="279"/>
      <c r="AD639" s="279"/>
      <c r="AE639" s="279"/>
      <c r="AF639" s="279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80"/>
      <c r="AR639" s="280"/>
      <c r="AS639" s="280"/>
      <c r="AT639" s="280"/>
    </row>
    <row r="640" ht="14.2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78"/>
      <c r="U640" s="278"/>
      <c r="V640" s="279"/>
      <c r="W640" s="279"/>
      <c r="X640" s="279"/>
      <c r="Y640" s="279"/>
      <c r="Z640" s="279"/>
      <c r="AA640" s="279"/>
      <c r="AB640" s="279"/>
      <c r="AC640" s="279"/>
      <c r="AD640" s="279"/>
      <c r="AE640" s="279"/>
      <c r="AF640" s="279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80"/>
      <c r="AR640" s="280"/>
      <c r="AS640" s="280"/>
      <c r="AT640" s="280"/>
    </row>
    <row r="641" ht="14.2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78"/>
      <c r="U641" s="278"/>
      <c r="V641" s="279"/>
      <c r="W641" s="279"/>
      <c r="X641" s="279"/>
      <c r="Y641" s="279"/>
      <c r="Z641" s="279"/>
      <c r="AA641" s="279"/>
      <c r="AB641" s="279"/>
      <c r="AC641" s="279"/>
      <c r="AD641" s="279"/>
      <c r="AE641" s="279"/>
      <c r="AF641" s="279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80"/>
      <c r="AR641" s="280"/>
      <c r="AS641" s="280"/>
      <c r="AT641" s="280"/>
    </row>
    <row r="642" ht="14.2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78"/>
      <c r="U642" s="278"/>
      <c r="V642" s="279"/>
      <c r="W642" s="279"/>
      <c r="X642" s="279"/>
      <c r="Y642" s="279"/>
      <c r="Z642" s="279"/>
      <c r="AA642" s="279"/>
      <c r="AB642" s="279"/>
      <c r="AC642" s="279"/>
      <c r="AD642" s="279"/>
      <c r="AE642" s="279"/>
      <c r="AF642" s="279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80"/>
      <c r="AR642" s="280"/>
      <c r="AS642" s="280"/>
      <c r="AT642" s="280"/>
    </row>
    <row r="643" ht="14.2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78"/>
      <c r="U643" s="278"/>
      <c r="V643" s="279"/>
      <c r="W643" s="279"/>
      <c r="X643" s="279"/>
      <c r="Y643" s="279"/>
      <c r="Z643" s="279"/>
      <c r="AA643" s="279"/>
      <c r="AB643" s="279"/>
      <c r="AC643" s="279"/>
      <c r="AD643" s="279"/>
      <c r="AE643" s="279"/>
      <c r="AF643" s="279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80"/>
      <c r="AR643" s="280"/>
      <c r="AS643" s="280"/>
      <c r="AT643" s="280"/>
    </row>
    <row r="644" ht="14.2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78"/>
      <c r="U644" s="278"/>
      <c r="V644" s="279"/>
      <c r="W644" s="279"/>
      <c r="X644" s="279"/>
      <c r="Y644" s="279"/>
      <c r="Z644" s="279"/>
      <c r="AA644" s="279"/>
      <c r="AB644" s="279"/>
      <c r="AC644" s="279"/>
      <c r="AD644" s="279"/>
      <c r="AE644" s="279"/>
      <c r="AF644" s="279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80"/>
      <c r="AR644" s="280"/>
      <c r="AS644" s="280"/>
      <c r="AT644" s="280"/>
    </row>
    <row r="645" ht="14.2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78"/>
      <c r="U645" s="278"/>
      <c r="V645" s="279"/>
      <c r="W645" s="279"/>
      <c r="X645" s="279"/>
      <c r="Y645" s="279"/>
      <c r="Z645" s="279"/>
      <c r="AA645" s="279"/>
      <c r="AB645" s="279"/>
      <c r="AC645" s="279"/>
      <c r="AD645" s="279"/>
      <c r="AE645" s="279"/>
      <c r="AF645" s="279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80"/>
      <c r="AR645" s="280"/>
      <c r="AS645" s="280"/>
      <c r="AT645" s="280"/>
    </row>
    <row r="646" ht="14.2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78"/>
      <c r="U646" s="278"/>
      <c r="V646" s="279"/>
      <c r="W646" s="279"/>
      <c r="X646" s="279"/>
      <c r="Y646" s="279"/>
      <c r="Z646" s="279"/>
      <c r="AA646" s="279"/>
      <c r="AB646" s="279"/>
      <c r="AC646" s="279"/>
      <c r="AD646" s="279"/>
      <c r="AE646" s="279"/>
      <c r="AF646" s="279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80"/>
      <c r="AR646" s="280"/>
      <c r="AS646" s="280"/>
      <c r="AT646" s="280"/>
    </row>
    <row r="647" ht="14.2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78"/>
      <c r="U647" s="278"/>
      <c r="V647" s="279"/>
      <c r="W647" s="279"/>
      <c r="X647" s="279"/>
      <c r="Y647" s="279"/>
      <c r="Z647" s="279"/>
      <c r="AA647" s="279"/>
      <c r="AB647" s="279"/>
      <c r="AC647" s="279"/>
      <c r="AD647" s="279"/>
      <c r="AE647" s="279"/>
      <c r="AF647" s="279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80"/>
      <c r="AR647" s="280"/>
      <c r="AS647" s="280"/>
      <c r="AT647" s="280"/>
    </row>
    <row r="648" ht="14.2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78"/>
      <c r="U648" s="278"/>
      <c r="V648" s="279"/>
      <c r="W648" s="279"/>
      <c r="X648" s="279"/>
      <c r="Y648" s="279"/>
      <c r="Z648" s="279"/>
      <c r="AA648" s="279"/>
      <c r="AB648" s="279"/>
      <c r="AC648" s="279"/>
      <c r="AD648" s="279"/>
      <c r="AE648" s="279"/>
      <c r="AF648" s="279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80"/>
      <c r="AR648" s="280"/>
      <c r="AS648" s="280"/>
      <c r="AT648" s="280"/>
    </row>
    <row r="649" ht="14.2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78"/>
      <c r="U649" s="278"/>
      <c r="V649" s="279"/>
      <c r="W649" s="279"/>
      <c r="X649" s="279"/>
      <c r="Y649" s="279"/>
      <c r="Z649" s="279"/>
      <c r="AA649" s="279"/>
      <c r="AB649" s="279"/>
      <c r="AC649" s="279"/>
      <c r="AD649" s="279"/>
      <c r="AE649" s="279"/>
      <c r="AF649" s="279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80"/>
      <c r="AR649" s="280"/>
      <c r="AS649" s="280"/>
      <c r="AT649" s="280"/>
    </row>
    <row r="650" ht="14.2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78"/>
      <c r="U650" s="278"/>
      <c r="V650" s="279"/>
      <c r="W650" s="279"/>
      <c r="X650" s="279"/>
      <c r="Y650" s="279"/>
      <c r="Z650" s="279"/>
      <c r="AA650" s="279"/>
      <c r="AB650" s="279"/>
      <c r="AC650" s="279"/>
      <c r="AD650" s="279"/>
      <c r="AE650" s="279"/>
      <c r="AF650" s="279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80"/>
      <c r="AR650" s="280"/>
      <c r="AS650" s="280"/>
      <c r="AT650" s="280"/>
    </row>
    <row r="651" ht="14.2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78"/>
      <c r="U651" s="278"/>
      <c r="V651" s="279"/>
      <c r="W651" s="279"/>
      <c r="X651" s="279"/>
      <c r="Y651" s="279"/>
      <c r="Z651" s="279"/>
      <c r="AA651" s="279"/>
      <c r="AB651" s="279"/>
      <c r="AC651" s="279"/>
      <c r="AD651" s="279"/>
      <c r="AE651" s="279"/>
      <c r="AF651" s="279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80"/>
      <c r="AR651" s="280"/>
      <c r="AS651" s="280"/>
      <c r="AT651" s="280"/>
    </row>
    <row r="652" ht="14.2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78"/>
      <c r="U652" s="278"/>
      <c r="V652" s="279"/>
      <c r="W652" s="279"/>
      <c r="X652" s="279"/>
      <c r="Y652" s="279"/>
      <c r="Z652" s="279"/>
      <c r="AA652" s="279"/>
      <c r="AB652" s="279"/>
      <c r="AC652" s="279"/>
      <c r="AD652" s="279"/>
      <c r="AE652" s="279"/>
      <c r="AF652" s="279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80"/>
      <c r="AR652" s="280"/>
      <c r="AS652" s="280"/>
      <c r="AT652" s="280"/>
    </row>
    <row r="653" ht="14.2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78"/>
      <c r="U653" s="278"/>
      <c r="V653" s="279"/>
      <c r="W653" s="279"/>
      <c r="X653" s="279"/>
      <c r="Y653" s="279"/>
      <c r="Z653" s="279"/>
      <c r="AA653" s="279"/>
      <c r="AB653" s="279"/>
      <c r="AC653" s="279"/>
      <c r="AD653" s="279"/>
      <c r="AE653" s="279"/>
      <c r="AF653" s="279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80"/>
      <c r="AR653" s="280"/>
      <c r="AS653" s="280"/>
      <c r="AT653" s="280"/>
    </row>
    <row r="654" ht="14.2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78"/>
      <c r="U654" s="278"/>
      <c r="V654" s="279"/>
      <c r="W654" s="279"/>
      <c r="X654" s="279"/>
      <c r="Y654" s="279"/>
      <c r="Z654" s="279"/>
      <c r="AA654" s="279"/>
      <c r="AB654" s="279"/>
      <c r="AC654" s="279"/>
      <c r="AD654" s="279"/>
      <c r="AE654" s="279"/>
      <c r="AF654" s="279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80"/>
      <c r="AR654" s="280"/>
      <c r="AS654" s="280"/>
      <c r="AT654" s="280"/>
    </row>
    <row r="655" ht="14.2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78"/>
      <c r="U655" s="278"/>
      <c r="V655" s="279"/>
      <c r="W655" s="279"/>
      <c r="X655" s="279"/>
      <c r="Y655" s="279"/>
      <c r="Z655" s="279"/>
      <c r="AA655" s="279"/>
      <c r="AB655" s="279"/>
      <c r="AC655" s="279"/>
      <c r="AD655" s="279"/>
      <c r="AE655" s="279"/>
      <c r="AF655" s="279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80"/>
      <c r="AR655" s="280"/>
      <c r="AS655" s="280"/>
      <c r="AT655" s="280"/>
    </row>
    <row r="656" ht="14.2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78"/>
      <c r="U656" s="278"/>
      <c r="V656" s="279"/>
      <c r="W656" s="279"/>
      <c r="X656" s="279"/>
      <c r="Y656" s="279"/>
      <c r="Z656" s="279"/>
      <c r="AA656" s="279"/>
      <c r="AB656" s="279"/>
      <c r="AC656" s="279"/>
      <c r="AD656" s="279"/>
      <c r="AE656" s="279"/>
      <c r="AF656" s="279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80"/>
      <c r="AR656" s="280"/>
      <c r="AS656" s="280"/>
      <c r="AT656" s="280"/>
    </row>
    <row r="657" ht="14.2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78"/>
      <c r="U657" s="278"/>
      <c r="V657" s="279"/>
      <c r="W657" s="279"/>
      <c r="X657" s="279"/>
      <c r="Y657" s="279"/>
      <c r="Z657" s="279"/>
      <c r="AA657" s="279"/>
      <c r="AB657" s="279"/>
      <c r="AC657" s="279"/>
      <c r="AD657" s="279"/>
      <c r="AE657" s="279"/>
      <c r="AF657" s="279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80"/>
      <c r="AR657" s="280"/>
      <c r="AS657" s="280"/>
      <c r="AT657" s="280"/>
    </row>
    <row r="658" ht="14.2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78"/>
      <c r="U658" s="278"/>
      <c r="V658" s="279"/>
      <c r="W658" s="279"/>
      <c r="X658" s="279"/>
      <c r="Y658" s="279"/>
      <c r="Z658" s="279"/>
      <c r="AA658" s="279"/>
      <c r="AB658" s="279"/>
      <c r="AC658" s="279"/>
      <c r="AD658" s="279"/>
      <c r="AE658" s="279"/>
      <c r="AF658" s="279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80"/>
      <c r="AR658" s="280"/>
      <c r="AS658" s="280"/>
      <c r="AT658" s="280"/>
    </row>
    <row r="659" ht="14.2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78"/>
      <c r="U659" s="278"/>
      <c r="V659" s="279"/>
      <c r="W659" s="279"/>
      <c r="X659" s="279"/>
      <c r="Y659" s="279"/>
      <c r="Z659" s="279"/>
      <c r="AA659" s="279"/>
      <c r="AB659" s="279"/>
      <c r="AC659" s="279"/>
      <c r="AD659" s="279"/>
      <c r="AE659" s="279"/>
      <c r="AF659" s="279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80"/>
      <c r="AR659" s="280"/>
      <c r="AS659" s="280"/>
      <c r="AT659" s="280"/>
    </row>
    <row r="660" ht="14.2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78"/>
      <c r="U660" s="278"/>
      <c r="V660" s="279"/>
      <c r="W660" s="279"/>
      <c r="X660" s="279"/>
      <c r="Y660" s="279"/>
      <c r="Z660" s="279"/>
      <c r="AA660" s="279"/>
      <c r="AB660" s="279"/>
      <c r="AC660" s="279"/>
      <c r="AD660" s="279"/>
      <c r="AE660" s="279"/>
      <c r="AF660" s="279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80"/>
      <c r="AR660" s="280"/>
      <c r="AS660" s="280"/>
      <c r="AT660" s="280"/>
    </row>
    <row r="661" ht="14.2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78"/>
      <c r="U661" s="278"/>
      <c r="V661" s="279"/>
      <c r="W661" s="279"/>
      <c r="X661" s="279"/>
      <c r="Y661" s="279"/>
      <c r="Z661" s="279"/>
      <c r="AA661" s="279"/>
      <c r="AB661" s="279"/>
      <c r="AC661" s="279"/>
      <c r="AD661" s="279"/>
      <c r="AE661" s="279"/>
      <c r="AF661" s="279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80"/>
      <c r="AR661" s="280"/>
      <c r="AS661" s="280"/>
      <c r="AT661" s="280"/>
    </row>
    <row r="662" ht="14.2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78"/>
      <c r="U662" s="278"/>
      <c r="V662" s="279"/>
      <c r="W662" s="279"/>
      <c r="X662" s="279"/>
      <c r="Y662" s="279"/>
      <c r="Z662" s="279"/>
      <c r="AA662" s="279"/>
      <c r="AB662" s="279"/>
      <c r="AC662" s="279"/>
      <c r="AD662" s="279"/>
      <c r="AE662" s="279"/>
      <c r="AF662" s="279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80"/>
      <c r="AR662" s="280"/>
      <c r="AS662" s="280"/>
      <c r="AT662" s="280"/>
    </row>
    <row r="663" ht="14.2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78"/>
      <c r="U663" s="278"/>
      <c r="V663" s="279"/>
      <c r="W663" s="279"/>
      <c r="X663" s="279"/>
      <c r="Y663" s="279"/>
      <c r="Z663" s="279"/>
      <c r="AA663" s="279"/>
      <c r="AB663" s="279"/>
      <c r="AC663" s="279"/>
      <c r="AD663" s="279"/>
      <c r="AE663" s="279"/>
      <c r="AF663" s="279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80"/>
      <c r="AR663" s="280"/>
      <c r="AS663" s="280"/>
      <c r="AT663" s="280"/>
    </row>
    <row r="664" ht="14.2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78"/>
      <c r="U664" s="278"/>
      <c r="V664" s="279"/>
      <c r="W664" s="279"/>
      <c r="X664" s="279"/>
      <c r="Y664" s="279"/>
      <c r="Z664" s="279"/>
      <c r="AA664" s="279"/>
      <c r="AB664" s="279"/>
      <c r="AC664" s="279"/>
      <c r="AD664" s="279"/>
      <c r="AE664" s="279"/>
      <c r="AF664" s="279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80"/>
      <c r="AR664" s="280"/>
      <c r="AS664" s="280"/>
      <c r="AT664" s="280"/>
    </row>
    <row r="665" ht="14.2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78"/>
      <c r="U665" s="278"/>
      <c r="V665" s="279"/>
      <c r="W665" s="279"/>
      <c r="X665" s="279"/>
      <c r="Y665" s="279"/>
      <c r="Z665" s="279"/>
      <c r="AA665" s="279"/>
      <c r="AB665" s="279"/>
      <c r="AC665" s="279"/>
      <c r="AD665" s="279"/>
      <c r="AE665" s="279"/>
      <c r="AF665" s="279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80"/>
      <c r="AR665" s="280"/>
      <c r="AS665" s="280"/>
      <c r="AT665" s="280"/>
    </row>
    <row r="666" ht="14.2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78"/>
      <c r="U666" s="278"/>
      <c r="V666" s="279"/>
      <c r="W666" s="279"/>
      <c r="X666" s="279"/>
      <c r="Y666" s="279"/>
      <c r="Z666" s="279"/>
      <c r="AA666" s="279"/>
      <c r="AB666" s="279"/>
      <c r="AC666" s="279"/>
      <c r="AD666" s="279"/>
      <c r="AE666" s="279"/>
      <c r="AF666" s="279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80"/>
      <c r="AR666" s="280"/>
      <c r="AS666" s="280"/>
      <c r="AT666" s="280"/>
    </row>
    <row r="667" ht="14.2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78"/>
      <c r="U667" s="278"/>
      <c r="V667" s="279"/>
      <c r="W667" s="279"/>
      <c r="X667" s="279"/>
      <c r="Y667" s="279"/>
      <c r="Z667" s="279"/>
      <c r="AA667" s="279"/>
      <c r="AB667" s="279"/>
      <c r="AC667" s="279"/>
      <c r="AD667" s="279"/>
      <c r="AE667" s="279"/>
      <c r="AF667" s="279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80"/>
      <c r="AR667" s="280"/>
      <c r="AS667" s="280"/>
      <c r="AT667" s="280"/>
    </row>
    <row r="668" ht="14.2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78"/>
      <c r="U668" s="278"/>
      <c r="V668" s="279"/>
      <c r="W668" s="279"/>
      <c r="X668" s="279"/>
      <c r="Y668" s="279"/>
      <c r="Z668" s="279"/>
      <c r="AA668" s="279"/>
      <c r="AB668" s="279"/>
      <c r="AC668" s="279"/>
      <c r="AD668" s="279"/>
      <c r="AE668" s="279"/>
      <c r="AF668" s="279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80"/>
      <c r="AR668" s="280"/>
      <c r="AS668" s="280"/>
      <c r="AT668" s="280"/>
    </row>
    <row r="669" ht="14.2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78"/>
      <c r="U669" s="278"/>
      <c r="V669" s="279"/>
      <c r="W669" s="279"/>
      <c r="X669" s="279"/>
      <c r="Y669" s="279"/>
      <c r="Z669" s="279"/>
      <c r="AA669" s="279"/>
      <c r="AB669" s="279"/>
      <c r="AC669" s="279"/>
      <c r="AD669" s="279"/>
      <c r="AE669" s="279"/>
      <c r="AF669" s="279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80"/>
      <c r="AR669" s="280"/>
      <c r="AS669" s="280"/>
      <c r="AT669" s="280"/>
    </row>
    <row r="670" ht="14.2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78"/>
      <c r="U670" s="278"/>
      <c r="V670" s="279"/>
      <c r="W670" s="279"/>
      <c r="X670" s="279"/>
      <c r="Y670" s="279"/>
      <c r="Z670" s="279"/>
      <c r="AA670" s="279"/>
      <c r="AB670" s="279"/>
      <c r="AC670" s="279"/>
      <c r="AD670" s="279"/>
      <c r="AE670" s="279"/>
      <c r="AF670" s="279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80"/>
      <c r="AR670" s="280"/>
      <c r="AS670" s="280"/>
      <c r="AT670" s="280"/>
    </row>
    <row r="671" ht="14.2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78"/>
      <c r="U671" s="278"/>
      <c r="V671" s="279"/>
      <c r="W671" s="279"/>
      <c r="X671" s="279"/>
      <c r="Y671" s="279"/>
      <c r="Z671" s="279"/>
      <c r="AA671" s="279"/>
      <c r="AB671" s="279"/>
      <c r="AC671" s="279"/>
      <c r="AD671" s="279"/>
      <c r="AE671" s="279"/>
      <c r="AF671" s="279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80"/>
      <c r="AR671" s="280"/>
      <c r="AS671" s="280"/>
      <c r="AT671" s="280"/>
    </row>
    <row r="672" ht="14.2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78"/>
      <c r="U672" s="278"/>
      <c r="V672" s="279"/>
      <c r="W672" s="279"/>
      <c r="X672" s="279"/>
      <c r="Y672" s="279"/>
      <c r="Z672" s="279"/>
      <c r="AA672" s="279"/>
      <c r="AB672" s="279"/>
      <c r="AC672" s="279"/>
      <c r="AD672" s="279"/>
      <c r="AE672" s="279"/>
      <c r="AF672" s="279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80"/>
      <c r="AR672" s="280"/>
      <c r="AS672" s="280"/>
      <c r="AT672" s="280"/>
    </row>
    <row r="673" ht="14.2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78"/>
      <c r="U673" s="278"/>
      <c r="V673" s="279"/>
      <c r="W673" s="279"/>
      <c r="X673" s="279"/>
      <c r="Y673" s="279"/>
      <c r="Z673" s="279"/>
      <c r="AA673" s="279"/>
      <c r="AB673" s="279"/>
      <c r="AC673" s="279"/>
      <c r="AD673" s="279"/>
      <c r="AE673" s="279"/>
      <c r="AF673" s="279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80"/>
      <c r="AR673" s="280"/>
      <c r="AS673" s="280"/>
      <c r="AT673" s="280"/>
    </row>
    <row r="674" ht="14.2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78"/>
      <c r="U674" s="278"/>
      <c r="V674" s="279"/>
      <c r="W674" s="279"/>
      <c r="X674" s="279"/>
      <c r="Y674" s="279"/>
      <c r="Z674" s="279"/>
      <c r="AA674" s="279"/>
      <c r="AB674" s="279"/>
      <c r="AC674" s="279"/>
      <c r="AD674" s="279"/>
      <c r="AE674" s="279"/>
      <c r="AF674" s="279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80"/>
      <c r="AR674" s="280"/>
      <c r="AS674" s="280"/>
      <c r="AT674" s="280"/>
    </row>
    <row r="675" ht="14.2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78"/>
      <c r="U675" s="278"/>
      <c r="V675" s="279"/>
      <c r="W675" s="279"/>
      <c r="X675" s="279"/>
      <c r="Y675" s="279"/>
      <c r="Z675" s="279"/>
      <c r="AA675" s="279"/>
      <c r="AB675" s="279"/>
      <c r="AC675" s="279"/>
      <c r="AD675" s="279"/>
      <c r="AE675" s="279"/>
      <c r="AF675" s="279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80"/>
      <c r="AR675" s="280"/>
      <c r="AS675" s="280"/>
      <c r="AT675" s="280"/>
    </row>
    <row r="676" ht="14.2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78"/>
      <c r="U676" s="278"/>
      <c r="V676" s="279"/>
      <c r="W676" s="279"/>
      <c r="X676" s="279"/>
      <c r="Y676" s="279"/>
      <c r="Z676" s="279"/>
      <c r="AA676" s="279"/>
      <c r="AB676" s="279"/>
      <c r="AC676" s="279"/>
      <c r="AD676" s="279"/>
      <c r="AE676" s="279"/>
      <c r="AF676" s="279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80"/>
      <c r="AR676" s="280"/>
      <c r="AS676" s="280"/>
      <c r="AT676" s="280"/>
    </row>
    <row r="677" ht="14.2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78"/>
      <c r="U677" s="278"/>
      <c r="V677" s="279"/>
      <c r="W677" s="279"/>
      <c r="X677" s="279"/>
      <c r="Y677" s="279"/>
      <c r="Z677" s="279"/>
      <c r="AA677" s="279"/>
      <c r="AB677" s="279"/>
      <c r="AC677" s="279"/>
      <c r="AD677" s="279"/>
      <c r="AE677" s="279"/>
      <c r="AF677" s="279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80"/>
      <c r="AR677" s="280"/>
      <c r="AS677" s="280"/>
      <c r="AT677" s="280"/>
    </row>
    <row r="678" ht="14.2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78"/>
      <c r="U678" s="278"/>
      <c r="V678" s="279"/>
      <c r="W678" s="279"/>
      <c r="X678" s="279"/>
      <c r="Y678" s="279"/>
      <c r="Z678" s="279"/>
      <c r="AA678" s="279"/>
      <c r="AB678" s="279"/>
      <c r="AC678" s="279"/>
      <c r="AD678" s="279"/>
      <c r="AE678" s="279"/>
      <c r="AF678" s="279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80"/>
      <c r="AR678" s="280"/>
      <c r="AS678" s="280"/>
      <c r="AT678" s="280"/>
    </row>
    <row r="679" ht="14.2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78"/>
      <c r="U679" s="278"/>
      <c r="V679" s="279"/>
      <c r="W679" s="279"/>
      <c r="X679" s="279"/>
      <c r="Y679" s="279"/>
      <c r="Z679" s="279"/>
      <c r="AA679" s="279"/>
      <c r="AB679" s="279"/>
      <c r="AC679" s="279"/>
      <c r="AD679" s="279"/>
      <c r="AE679" s="279"/>
      <c r="AF679" s="279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80"/>
      <c r="AR679" s="280"/>
      <c r="AS679" s="280"/>
      <c r="AT679" s="280"/>
    </row>
    <row r="680" ht="14.2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78"/>
      <c r="U680" s="278"/>
      <c r="V680" s="279"/>
      <c r="W680" s="279"/>
      <c r="X680" s="279"/>
      <c r="Y680" s="279"/>
      <c r="Z680" s="279"/>
      <c r="AA680" s="279"/>
      <c r="AB680" s="279"/>
      <c r="AC680" s="279"/>
      <c r="AD680" s="279"/>
      <c r="AE680" s="279"/>
      <c r="AF680" s="279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80"/>
      <c r="AR680" s="280"/>
      <c r="AS680" s="280"/>
      <c r="AT680" s="280"/>
    </row>
    <row r="681" ht="14.2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78"/>
      <c r="U681" s="278"/>
      <c r="V681" s="279"/>
      <c r="W681" s="279"/>
      <c r="X681" s="279"/>
      <c r="Y681" s="279"/>
      <c r="Z681" s="279"/>
      <c r="AA681" s="279"/>
      <c r="AB681" s="279"/>
      <c r="AC681" s="279"/>
      <c r="AD681" s="279"/>
      <c r="AE681" s="279"/>
      <c r="AF681" s="279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80"/>
      <c r="AR681" s="280"/>
      <c r="AS681" s="280"/>
      <c r="AT681" s="280"/>
    </row>
    <row r="682" ht="14.2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78"/>
      <c r="U682" s="278"/>
      <c r="V682" s="279"/>
      <c r="W682" s="279"/>
      <c r="X682" s="279"/>
      <c r="Y682" s="279"/>
      <c r="Z682" s="279"/>
      <c r="AA682" s="279"/>
      <c r="AB682" s="279"/>
      <c r="AC682" s="279"/>
      <c r="AD682" s="279"/>
      <c r="AE682" s="279"/>
      <c r="AF682" s="279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80"/>
      <c r="AR682" s="280"/>
      <c r="AS682" s="280"/>
      <c r="AT682" s="280"/>
    </row>
    <row r="683" ht="14.2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78"/>
      <c r="U683" s="278"/>
      <c r="V683" s="279"/>
      <c r="W683" s="279"/>
      <c r="X683" s="279"/>
      <c r="Y683" s="279"/>
      <c r="Z683" s="279"/>
      <c r="AA683" s="279"/>
      <c r="AB683" s="279"/>
      <c r="AC683" s="279"/>
      <c r="AD683" s="279"/>
      <c r="AE683" s="279"/>
      <c r="AF683" s="279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80"/>
      <c r="AR683" s="280"/>
      <c r="AS683" s="280"/>
      <c r="AT683" s="280"/>
    </row>
    <row r="684" ht="14.2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78"/>
      <c r="U684" s="278"/>
      <c r="V684" s="279"/>
      <c r="W684" s="279"/>
      <c r="X684" s="279"/>
      <c r="Y684" s="279"/>
      <c r="Z684" s="279"/>
      <c r="AA684" s="279"/>
      <c r="AB684" s="279"/>
      <c r="AC684" s="279"/>
      <c r="AD684" s="279"/>
      <c r="AE684" s="279"/>
      <c r="AF684" s="279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80"/>
      <c r="AR684" s="280"/>
      <c r="AS684" s="280"/>
      <c r="AT684" s="280"/>
    </row>
    <row r="685" ht="14.2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78"/>
      <c r="U685" s="278"/>
      <c r="V685" s="279"/>
      <c r="W685" s="279"/>
      <c r="X685" s="279"/>
      <c r="Y685" s="279"/>
      <c r="Z685" s="279"/>
      <c r="AA685" s="279"/>
      <c r="AB685" s="279"/>
      <c r="AC685" s="279"/>
      <c r="AD685" s="279"/>
      <c r="AE685" s="279"/>
      <c r="AF685" s="279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80"/>
      <c r="AR685" s="280"/>
      <c r="AS685" s="280"/>
      <c r="AT685" s="280"/>
    </row>
    <row r="686" ht="14.2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78"/>
      <c r="U686" s="278"/>
      <c r="V686" s="279"/>
      <c r="W686" s="279"/>
      <c r="X686" s="279"/>
      <c r="Y686" s="279"/>
      <c r="Z686" s="279"/>
      <c r="AA686" s="279"/>
      <c r="AB686" s="279"/>
      <c r="AC686" s="279"/>
      <c r="AD686" s="279"/>
      <c r="AE686" s="279"/>
      <c r="AF686" s="279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80"/>
      <c r="AR686" s="280"/>
      <c r="AS686" s="280"/>
      <c r="AT686" s="280"/>
    </row>
    <row r="687" ht="14.2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78"/>
      <c r="U687" s="278"/>
      <c r="V687" s="279"/>
      <c r="W687" s="279"/>
      <c r="X687" s="279"/>
      <c r="Y687" s="279"/>
      <c r="Z687" s="279"/>
      <c r="AA687" s="279"/>
      <c r="AB687" s="279"/>
      <c r="AC687" s="279"/>
      <c r="AD687" s="279"/>
      <c r="AE687" s="279"/>
      <c r="AF687" s="279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80"/>
      <c r="AR687" s="280"/>
      <c r="AS687" s="280"/>
      <c r="AT687" s="280"/>
    </row>
    <row r="688" ht="14.2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78"/>
      <c r="U688" s="278"/>
      <c r="V688" s="279"/>
      <c r="W688" s="279"/>
      <c r="X688" s="279"/>
      <c r="Y688" s="279"/>
      <c r="Z688" s="279"/>
      <c r="AA688" s="279"/>
      <c r="AB688" s="279"/>
      <c r="AC688" s="279"/>
      <c r="AD688" s="279"/>
      <c r="AE688" s="279"/>
      <c r="AF688" s="279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80"/>
      <c r="AR688" s="280"/>
      <c r="AS688" s="280"/>
      <c r="AT688" s="280"/>
    </row>
    <row r="689" ht="14.2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78"/>
      <c r="U689" s="278"/>
      <c r="V689" s="279"/>
      <c r="W689" s="279"/>
      <c r="X689" s="279"/>
      <c r="Y689" s="279"/>
      <c r="Z689" s="279"/>
      <c r="AA689" s="279"/>
      <c r="AB689" s="279"/>
      <c r="AC689" s="279"/>
      <c r="AD689" s="279"/>
      <c r="AE689" s="279"/>
      <c r="AF689" s="279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80"/>
      <c r="AR689" s="280"/>
      <c r="AS689" s="280"/>
      <c r="AT689" s="280"/>
    </row>
    <row r="690" ht="14.2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78"/>
      <c r="U690" s="278"/>
      <c r="V690" s="279"/>
      <c r="W690" s="279"/>
      <c r="X690" s="279"/>
      <c r="Y690" s="279"/>
      <c r="Z690" s="279"/>
      <c r="AA690" s="279"/>
      <c r="AB690" s="279"/>
      <c r="AC690" s="279"/>
      <c r="AD690" s="279"/>
      <c r="AE690" s="279"/>
      <c r="AF690" s="279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80"/>
      <c r="AR690" s="280"/>
      <c r="AS690" s="280"/>
      <c r="AT690" s="280"/>
    </row>
    <row r="691" ht="14.2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78"/>
      <c r="U691" s="278"/>
      <c r="V691" s="279"/>
      <c r="W691" s="279"/>
      <c r="X691" s="279"/>
      <c r="Y691" s="279"/>
      <c r="Z691" s="279"/>
      <c r="AA691" s="279"/>
      <c r="AB691" s="279"/>
      <c r="AC691" s="279"/>
      <c r="AD691" s="279"/>
      <c r="AE691" s="279"/>
      <c r="AF691" s="279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80"/>
      <c r="AR691" s="280"/>
      <c r="AS691" s="280"/>
      <c r="AT691" s="280"/>
    </row>
    <row r="692" ht="14.2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78"/>
      <c r="U692" s="278"/>
      <c r="V692" s="279"/>
      <c r="W692" s="279"/>
      <c r="X692" s="279"/>
      <c r="Y692" s="279"/>
      <c r="Z692" s="279"/>
      <c r="AA692" s="279"/>
      <c r="AB692" s="279"/>
      <c r="AC692" s="279"/>
      <c r="AD692" s="279"/>
      <c r="AE692" s="279"/>
      <c r="AF692" s="279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80"/>
      <c r="AR692" s="280"/>
      <c r="AS692" s="280"/>
      <c r="AT692" s="280"/>
    </row>
    <row r="693" ht="14.2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78"/>
      <c r="U693" s="278"/>
      <c r="V693" s="279"/>
      <c r="W693" s="279"/>
      <c r="X693" s="279"/>
      <c r="Y693" s="279"/>
      <c r="Z693" s="279"/>
      <c r="AA693" s="279"/>
      <c r="AB693" s="279"/>
      <c r="AC693" s="279"/>
      <c r="AD693" s="279"/>
      <c r="AE693" s="279"/>
      <c r="AF693" s="279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80"/>
      <c r="AR693" s="280"/>
      <c r="AS693" s="280"/>
      <c r="AT693" s="280"/>
    </row>
    <row r="694" ht="14.2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78"/>
      <c r="U694" s="278"/>
      <c r="V694" s="279"/>
      <c r="W694" s="279"/>
      <c r="X694" s="279"/>
      <c r="Y694" s="279"/>
      <c r="Z694" s="279"/>
      <c r="AA694" s="279"/>
      <c r="AB694" s="279"/>
      <c r="AC694" s="279"/>
      <c r="AD694" s="279"/>
      <c r="AE694" s="279"/>
      <c r="AF694" s="279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80"/>
      <c r="AR694" s="280"/>
      <c r="AS694" s="280"/>
      <c r="AT694" s="280"/>
    </row>
    <row r="695" ht="14.2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78"/>
      <c r="U695" s="278"/>
      <c r="V695" s="279"/>
      <c r="W695" s="279"/>
      <c r="X695" s="279"/>
      <c r="Y695" s="279"/>
      <c r="Z695" s="279"/>
      <c r="AA695" s="279"/>
      <c r="AB695" s="279"/>
      <c r="AC695" s="279"/>
      <c r="AD695" s="279"/>
      <c r="AE695" s="279"/>
      <c r="AF695" s="279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80"/>
      <c r="AR695" s="280"/>
      <c r="AS695" s="280"/>
      <c r="AT695" s="280"/>
    </row>
    <row r="696" ht="14.2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78"/>
      <c r="U696" s="278"/>
      <c r="V696" s="279"/>
      <c r="W696" s="279"/>
      <c r="X696" s="279"/>
      <c r="Y696" s="279"/>
      <c r="Z696" s="279"/>
      <c r="AA696" s="279"/>
      <c r="AB696" s="279"/>
      <c r="AC696" s="279"/>
      <c r="AD696" s="279"/>
      <c r="AE696" s="279"/>
      <c r="AF696" s="279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80"/>
      <c r="AR696" s="280"/>
      <c r="AS696" s="280"/>
      <c r="AT696" s="280"/>
    </row>
    <row r="697" ht="14.2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78"/>
      <c r="U697" s="278"/>
      <c r="V697" s="279"/>
      <c r="W697" s="279"/>
      <c r="X697" s="279"/>
      <c r="Y697" s="279"/>
      <c r="Z697" s="279"/>
      <c r="AA697" s="279"/>
      <c r="AB697" s="279"/>
      <c r="AC697" s="279"/>
      <c r="AD697" s="279"/>
      <c r="AE697" s="279"/>
      <c r="AF697" s="279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80"/>
      <c r="AR697" s="280"/>
      <c r="AS697" s="280"/>
      <c r="AT697" s="280"/>
    </row>
    <row r="698" ht="14.2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78"/>
      <c r="U698" s="278"/>
      <c r="V698" s="279"/>
      <c r="W698" s="279"/>
      <c r="X698" s="279"/>
      <c r="Y698" s="279"/>
      <c r="Z698" s="279"/>
      <c r="AA698" s="279"/>
      <c r="AB698" s="279"/>
      <c r="AC698" s="279"/>
      <c r="AD698" s="279"/>
      <c r="AE698" s="279"/>
      <c r="AF698" s="279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80"/>
      <c r="AR698" s="280"/>
      <c r="AS698" s="280"/>
      <c r="AT698" s="280"/>
    </row>
    <row r="699" ht="14.2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78"/>
      <c r="U699" s="278"/>
      <c r="V699" s="279"/>
      <c r="W699" s="279"/>
      <c r="X699" s="279"/>
      <c r="Y699" s="279"/>
      <c r="Z699" s="279"/>
      <c r="AA699" s="279"/>
      <c r="AB699" s="279"/>
      <c r="AC699" s="279"/>
      <c r="AD699" s="279"/>
      <c r="AE699" s="279"/>
      <c r="AF699" s="279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80"/>
      <c r="AR699" s="280"/>
      <c r="AS699" s="280"/>
      <c r="AT699" s="280"/>
    </row>
    <row r="700" ht="14.2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78"/>
      <c r="U700" s="278"/>
      <c r="V700" s="279"/>
      <c r="W700" s="279"/>
      <c r="X700" s="279"/>
      <c r="Y700" s="279"/>
      <c r="Z700" s="279"/>
      <c r="AA700" s="279"/>
      <c r="AB700" s="279"/>
      <c r="AC700" s="279"/>
      <c r="AD700" s="279"/>
      <c r="AE700" s="279"/>
      <c r="AF700" s="279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80"/>
      <c r="AR700" s="280"/>
      <c r="AS700" s="280"/>
      <c r="AT700" s="280"/>
    </row>
    <row r="701" ht="14.2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78"/>
      <c r="U701" s="278"/>
      <c r="V701" s="279"/>
      <c r="W701" s="279"/>
      <c r="X701" s="279"/>
      <c r="Y701" s="279"/>
      <c r="Z701" s="279"/>
      <c r="AA701" s="279"/>
      <c r="AB701" s="279"/>
      <c r="AC701" s="279"/>
      <c r="AD701" s="279"/>
      <c r="AE701" s="279"/>
      <c r="AF701" s="279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80"/>
      <c r="AR701" s="280"/>
      <c r="AS701" s="280"/>
      <c r="AT701" s="280"/>
    </row>
    <row r="702" ht="14.2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78"/>
      <c r="U702" s="278"/>
      <c r="V702" s="279"/>
      <c r="W702" s="279"/>
      <c r="X702" s="279"/>
      <c r="Y702" s="279"/>
      <c r="Z702" s="279"/>
      <c r="AA702" s="279"/>
      <c r="AB702" s="279"/>
      <c r="AC702" s="279"/>
      <c r="AD702" s="279"/>
      <c r="AE702" s="279"/>
      <c r="AF702" s="279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80"/>
      <c r="AR702" s="280"/>
      <c r="AS702" s="280"/>
      <c r="AT702" s="280"/>
    </row>
    <row r="703" ht="14.2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78"/>
      <c r="U703" s="278"/>
      <c r="V703" s="279"/>
      <c r="W703" s="279"/>
      <c r="X703" s="279"/>
      <c r="Y703" s="279"/>
      <c r="Z703" s="279"/>
      <c r="AA703" s="279"/>
      <c r="AB703" s="279"/>
      <c r="AC703" s="279"/>
      <c r="AD703" s="279"/>
      <c r="AE703" s="279"/>
      <c r="AF703" s="279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80"/>
      <c r="AR703" s="280"/>
      <c r="AS703" s="280"/>
      <c r="AT703" s="280"/>
    </row>
    <row r="704" ht="14.2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78"/>
      <c r="U704" s="278"/>
      <c r="V704" s="279"/>
      <c r="W704" s="279"/>
      <c r="X704" s="279"/>
      <c r="Y704" s="279"/>
      <c r="Z704" s="279"/>
      <c r="AA704" s="279"/>
      <c r="AB704" s="279"/>
      <c r="AC704" s="279"/>
      <c r="AD704" s="279"/>
      <c r="AE704" s="279"/>
      <c r="AF704" s="279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80"/>
      <c r="AR704" s="280"/>
      <c r="AS704" s="280"/>
      <c r="AT704" s="280"/>
    </row>
    <row r="705" ht="14.2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78"/>
      <c r="U705" s="278"/>
      <c r="V705" s="279"/>
      <c r="W705" s="279"/>
      <c r="X705" s="279"/>
      <c r="Y705" s="279"/>
      <c r="Z705" s="279"/>
      <c r="AA705" s="279"/>
      <c r="AB705" s="279"/>
      <c r="AC705" s="279"/>
      <c r="AD705" s="279"/>
      <c r="AE705" s="279"/>
      <c r="AF705" s="279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80"/>
      <c r="AR705" s="280"/>
      <c r="AS705" s="280"/>
      <c r="AT705" s="280"/>
    </row>
    <row r="706" ht="14.2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78"/>
      <c r="U706" s="278"/>
      <c r="V706" s="279"/>
      <c r="W706" s="279"/>
      <c r="X706" s="279"/>
      <c r="Y706" s="279"/>
      <c r="Z706" s="279"/>
      <c r="AA706" s="279"/>
      <c r="AB706" s="279"/>
      <c r="AC706" s="279"/>
      <c r="AD706" s="279"/>
      <c r="AE706" s="279"/>
      <c r="AF706" s="279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80"/>
      <c r="AR706" s="280"/>
      <c r="AS706" s="280"/>
      <c r="AT706" s="280"/>
    </row>
    <row r="707" ht="14.2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78"/>
      <c r="U707" s="278"/>
      <c r="V707" s="279"/>
      <c r="W707" s="279"/>
      <c r="X707" s="279"/>
      <c r="Y707" s="279"/>
      <c r="Z707" s="279"/>
      <c r="AA707" s="279"/>
      <c r="AB707" s="279"/>
      <c r="AC707" s="279"/>
      <c r="AD707" s="279"/>
      <c r="AE707" s="279"/>
      <c r="AF707" s="279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80"/>
      <c r="AR707" s="280"/>
      <c r="AS707" s="280"/>
      <c r="AT707" s="280"/>
    </row>
    <row r="708" ht="14.2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78"/>
      <c r="U708" s="278"/>
      <c r="V708" s="279"/>
      <c r="W708" s="279"/>
      <c r="X708" s="279"/>
      <c r="Y708" s="279"/>
      <c r="Z708" s="279"/>
      <c r="AA708" s="279"/>
      <c r="AB708" s="279"/>
      <c r="AC708" s="279"/>
      <c r="AD708" s="279"/>
      <c r="AE708" s="279"/>
      <c r="AF708" s="279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80"/>
      <c r="AR708" s="280"/>
      <c r="AS708" s="280"/>
      <c r="AT708" s="280"/>
    </row>
    <row r="709" ht="14.2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78"/>
      <c r="U709" s="278"/>
      <c r="V709" s="279"/>
      <c r="W709" s="279"/>
      <c r="X709" s="279"/>
      <c r="Y709" s="279"/>
      <c r="Z709" s="279"/>
      <c r="AA709" s="279"/>
      <c r="AB709" s="279"/>
      <c r="AC709" s="279"/>
      <c r="AD709" s="279"/>
      <c r="AE709" s="279"/>
      <c r="AF709" s="279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80"/>
      <c r="AR709" s="280"/>
      <c r="AS709" s="280"/>
      <c r="AT709" s="280"/>
    </row>
    <row r="710" ht="14.2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78"/>
      <c r="U710" s="278"/>
      <c r="V710" s="279"/>
      <c r="W710" s="279"/>
      <c r="X710" s="279"/>
      <c r="Y710" s="279"/>
      <c r="Z710" s="279"/>
      <c r="AA710" s="279"/>
      <c r="AB710" s="279"/>
      <c r="AC710" s="279"/>
      <c r="AD710" s="279"/>
      <c r="AE710" s="279"/>
      <c r="AF710" s="279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80"/>
      <c r="AR710" s="280"/>
      <c r="AS710" s="280"/>
      <c r="AT710" s="280"/>
    </row>
    <row r="711" ht="14.2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78"/>
      <c r="U711" s="278"/>
      <c r="V711" s="279"/>
      <c r="W711" s="279"/>
      <c r="X711" s="279"/>
      <c r="Y711" s="279"/>
      <c r="Z711" s="279"/>
      <c r="AA711" s="279"/>
      <c r="AB711" s="279"/>
      <c r="AC711" s="279"/>
      <c r="AD711" s="279"/>
      <c r="AE711" s="279"/>
      <c r="AF711" s="279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80"/>
      <c r="AR711" s="280"/>
      <c r="AS711" s="280"/>
      <c r="AT711" s="280"/>
    </row>
    <row r="712" ht="14.2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78"/>
      <c r="U712" s="278"/>
      <c r="V712" s="279"/>
      <c r="W712" s="279"/>
      <c r="X712" s="279"/>
      <c r="Y712" s="279"/>
      <c r="Z712" s="279"/>
      <c r="AA712" s="279"/>
      <c r="AB712" s="279"/>
      <c r="AC712" s="279"/>
      <c r="AD712" s="279"/>
      <c r="AE712" s="279"/>
      <c r="AF712" s="279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80"/>
      <c r="AR712" s="280"/>
      <c r="AS712" s="280"/>
      <c r="AT712" s="280"/>
    </row>
    <row r="713" ht="14.2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78"/>
      <c r="U713" s="278"/>
      <c r="V713" s="279"/>
      <c r="W713" s="279"/>
      <c r="X713" s="279"/>
      <c r="Y713" s="279"/>
      <c r="Z713" s="279"/>
      <c r="AA713" s="279"/>
      <c r="AB713" s="279"/>
      <c r="AC713" s="279"/>
      <c r="AD713" s="279"/>
      <c r="AE713" s="279"/>
      <c r="AF713" s="279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80"/>
      <c r="AR713" s="280"/>
      <c r="AS713" s="280"/>
      <c r="AT713" s="280"/>
    </row>
    <row r="714" ht="14.2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78"/>
      <c r="U714" s="278"/>
      <c r="V714" s="279"/>
      <c r="W714" s="279"/>
      <c r="X714" s="279"/>
      <c r="Y714" s="279"/>
      <c r="Z714" s="279"/>
      <c r="AA714" s="279"/>
      <c r="AB714" s="279"/>
      <c r="AC714" s="279"/>
      <c r="AD714" s="279"/>
      <c r="AE714" s="279"/>
      <c r="AF714" s="279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80"/>
      <c r="AR714" s="280"/>
      <c r="AS714" s="280"/>
      <c r="AT714" s="280"/>
    </row>
    <row r="715" ht="14.2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78"/>
      <c r="U715" s="278"/>
      <c r="V715" s="279"/>
      <c r="W715" s="279"/>
      <c r="X715" s="279"/>
      <c r="Y715" s="279"/>
      <c r="Z715" s="279"/>
      <c r="AA715" s="279"/>
      <c r="AB715" s="279"/>
      <c r="AC715" s="279"/>
      <c r="AD715" s="279"/>
      <c r="AE715" s="279"/>
      <c r="AF715" s="279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80"/>
      <c r="AR715" s="280"/>
      <c r="AS715" s="280"/>
      <c r="AT715" s="280"/>
    </row>
    <row r="716" ht="14.2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78"/>
      <c r="U716" s="278"/>
      <c r="V716" s="279"/>
      <c r="W716" s="279"/>
      <c r="X716" s="279"/>
      <c r="Y716" s="279"/>
      <c r="Z716" s="279"/>
      <c r="AA716" s="279"/>
      <c r="AB716" s="279"/>
      <c r="AC716" s="279"/>
      <c r="AD716" s="279"/>
      <c r="AE716" s="279"/>
      <c r="AF716" s="279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80"/>
      <c r="AR716" s="280"/>
      <c r="AS716" s="280"/>
      <c r="AT716" s="280"/>
    </row>
    <row r="717" ht="14.2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78"/>
      <c r="U717" s="278"/>
      <c r="V717" s="279"/>
      <c r="W717" s="279"/>
      <c r="X717" s="279"/>
      <c r="Y717" s="279"/>
      <c r="Z717" s="279"/>
      <c r="AA717" s="279"/>
      <c r="AB717" s="279"/>
      <c r="AC717" s="279"/>
      <c r="AD717" s="279"/>
      <c r="AE717" s="279"/>
      <c r="AF717" s="279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80"/>
      <c r="AR717" s="280"/>
      <c r="AS717" s="280"/>
      <c r="AT717" s="280"/>
    </row>
    <row r="718" ht="14.2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78"/>
      <c r="U718" s="278"/>
      <c r="V718" s="279"/>
      <c r="W718" s="279"/>
      <c r="X718" s="279"/>
      <c r="Y718" s="279"/>
      <c r="Z718" s="279"/>
      <c r="AA718" s="279"/>
      <c r="AB718" s="279"/>
      <c r="AC718" s="279"/>
      <c r="AD718" s="279"/>
      <c r="AE718" s="279"/>
      <c r="AF718" s="279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80"/>
      <c r="AR718" s="280"/>
      <c r="AS718" s="280"/>
      <c r="AT718" s="280"/>
    </row>
    <row r="719" ht="14.2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78"/>
      <c r="U719" s="278"/>
      <c r="V719" s="279"/>
      <c r="W719" s="279"/>
      <c r="X719" s="279"/>
      <c r="Y719" s="279"/>
      <c r="Z719" s="279"/>
      <c r="AA719" s="279"/>
      <c r="AB719" s="279"/>
      <c r="AC719" s="279"/>
      <c r="AD719" s="279"/>
      <c r="AE719" s="279"/>
      <c r="AF719" s="279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80"/>
      <c r="AR719" s="280"/>
      <c r="AS719" s="280"/>
      <c r="AT719" s="280"/>
    </row>
    <row r="720" ht="14.2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78"/>
      <c r="U720" s="278"/>
      <c r="V720" s="279"/>
      <c r="W720" s="279"/>
      <c r="X720" s="279"/>
      <c r="Y720" s="279"/>
      <c r="Z720" s="279"/>
      <c r="AA720" s="279"/>
      <c r="AB720" s="279"/>
      <c r="AC720" s="279"/>
      <c r="AD720" s="279"/>
      <c r="AE720" s="279"/>
      <c r="AF720" s="279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80"/>
      <c r="AR720" s="280"/>
      <c r="AS720" s="280"/>
      <c r="AT720" s="280"/>
    </row>
    <row r="721" ht="14.2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78"/>
      <c r="U721" s="278"/>
      <c r="V721" s="279"/>
      <c r="W721" s="279"/>
      <c r="X721" s="279"/>
      <c r="Y721" s="279"/>
      <c r="Z721" s="279"/>
      <c r="AA721" s="279"/>
      <c r="AB721" s="279"/>
      <c r="AC721" s="279"/>
      <c r="AD721" s="279"/>
      <c r="AE721" s="279"/>
      <c r="AF721" s="279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80"/>
      <c r="AR721" s="280"/>
      <c r="AS721" s="280"/>
      <c r="AT721" s="280"/>
    </row>
    <row r="722" ht="14.2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78"/>
      <c r="U722" s="278"/>
      <c r="V722" s="279"/>
      <c r="W722" s="279"/>
      <c r="X722" s="279"/>
      <c r="Y722" s="279"/>
      <c r="Z722" s="279"/>
      <c r="AA722" s="279"/>
      <c r="AB722" s="279"/>
      <c r="AC722" s="279"/>
      <c r="AD722" s="279"/>
      <c r="AE722" s="279"/>
      <c r="AF722" s="279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80"/>
      <c r="AR722" s="280"/>
      <c r="AS722" s="280"/>
      <c r="AT722" s="280"/>
    </row>
    <row r="723" ht="14.2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78"/>
      <c r="U723" s="278"/>
      <c r="V723" s="279"/>
      <c r="W723" s="279"/>
      <c r="X723" s="279"/>
      <c r="Y723" s="279"/>
      <c r="Z723" s="279"/>
      <c r="AA723" s="279"/>
      <c r="AB723" s="279"/>
      <c r="AC723" s="279"/>
      <c r="AD723" s="279"/>
      <c r="AE723" s="279"/>
      <c r="AF723" s="279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80"/>
      <c r="AR723" s="280"/>
      <c r="AS723" s="280"/>
      <c r="AT723" s="280"/>
    </row>
    <row r="724" ht="14.2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78"/>
      <c r="U724" s="278"/>
      <c r="V724" s="279"/>
      <c r="W724" s="279"/>
      <c r="X724" s="279"/>
      <c r="Y724" s="279"/>
      <c r="Z724" s="279"/>
      <c r="AA724" s="279"/>
      <c r="AB724" s="279"/>
      <c r="AC724" s="279"/>
      <c r="AD724" s="279"/>
      <c r="AE724" s="279"/>
      <c r="AF724" s="279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80"/>
      <c r="AR724" s="280"/>
      <c r="AS724" s="280"/>
      <c r="AT724" s="280"/>
    </row>
    <row r="725" ht="14.2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78"/>
      <c r="U725" s="278"/>
      <c r="V725" s="279"/>
      <c r="W725" s="279"/>
      <c r="X725" s="279"/>
      <c r="Y725" s="279"/>
      <c r="Z725" s="279"/>
      <c r="AA725" s="279"/>
      <c r="AB725" s="279"/>
      <c r="AC725" s="279"/>
      <c r="AD725" s="279"/>
      <c r="AE725" s="279"/>
      <c r="AF725" s="279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80"/>
      <c r="AR725" s="280"/>
      <c r="AS725" s="280"/>
      <c r="AT725" s="280"/>
    </row>
    <row r="726" ht="14.2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78"/>
      <c r="U726" s="278"/>
      <c r="V726" s="279"/>
      <c r="W726" s="279"/>
      <c r="X726" s="279"/>
      <c r="Y726" s="279"/>
      <c r="Z726" s="279"/>
      <c r="AA726" s="279"/>
      <c r="AB726" s="279"/>
      <c r="AC726" s="279"/>
      <c r="AD726" s="279"/>
      <c r="AE726" s="279"/>
      <c r="AF726" s="279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80"/>
      <c r="AR726" s="280"/>
      <c r="AS726" s="280"/>
      <c r="AT726" s="280"/>
    </row>
    <row r="727" ht="14.2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78"/>
      <c r="U727" s="278"/>
      <c r="V727" s="279"/>
      <c r="W727" s="279"/>
      <c r="X727" s="279"/>
      <c r="Y727" s="279"/>
      <c r="Z727" s="279"/>
      <c r="AA727" s="279"/>
      <c r="AB727" s="279"/>
      <c r="AC727" s="279"/>
      <c r="AD727" s="279"/>
      <c r="AE727" s="279"/>
      <c r="AF727" s="279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80"/>
      <c r="AR727" s="280"/>
      <c r="AS727" s="280"/>
      <c r="AT727" s="280"/>
    </row>
    <row r="728" ht="14.2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78"/>
      <c r="U728" s="278"/>
      <c r="V728" s="279"/>
      <c r="W728" s="279"/>
      <c r="X728" s="279"/>
      <c r="Y728" s="279"/>
      <c r="Z728" s="279"/>
      <c r="AA728" s="279"/>
      <c r="AB728" s="279"/>
      <c r="AC728" s="279"/>
      <c r="AD728" s="279"/>
      <c r="AE728" s="279"/>
      <c r="AF728" s="279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80"/>
      <c r="AR728" s="280"/>
      <c r="AS728" s="280"/>
      <c r="AT728" s="280"/>
    </row>
    <row r="729" ht="14.2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78"/>
      <c r="U729" s="278"/>
      <c r="V729" s="279"/>
      <c r="W729" s="279"/>
      <c r="X729" s="279"/>
      <c r="Y729" s="279"/>
      <c r="Z729" s="279"/>
      <c r="AA729" s="279"/>
      <c r="AB729" s="279"/>
      <c r="AC729" s="279"/>
      <c r="AD729" s="279"/>
      <c r="AE729" s="279"/>
      <c r="AF729" s="279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80"/>
      <c r="AR729" s="280"/>
      <c r="AS729" s="280"/>
      <c r="AT729" s="280"/>
    </row>
    <row r="730" ht="14.2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78"/>
      <c r="U730" s="278"/>
      <c r="V730" s="279"/>
      <c r="W730" s="279"/>
      <c r="X730" s="279"/>
      <c r="Y730" s="279"/>
      <c r="Z730" s="279"/>
      <c r="AA730" s="279"/>
      <c r="AB730" s="279"/>
      <c r="AC730" s="279"/>
      <c r="AD730" s="279"/>
      <c r="AE730" s="279"/>
      <c r="AF730" s="279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80"/>
      <c r="AR730" s="280"/>
      <c r="AS730" s="280"/>
      <c r="AT730" s="280"/>
    </row>
    <row r="731" ht="14.2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78"/>
      <c r="U731" s="278"/>
      <c r="V731" s="279"/>
      <c r="W731" s="279"/>
      <c r="X731" s="279"/>
      <c r="Y731" s="279"/>
      <c r="Z731" s="279"/>
      <c r="AA731" s="279"/>
      <c r="AB731" s="279"/>
      <c r="AC731" s="279"/>
      <c r="AD731" s="279"/>
      <c r="AE731" s="279"/>
      <c r="AF731" s="279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80"/>
      <c r="AR731" s="280"/>
      <c r="AS731" s="280"/>
      <c r="AT731" s="280"/>
    </row>
    <row r="732" ht="14.2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78"/>
      <c r="U732" s="278"/>
      <c r="V732" s="279"/>
      <c r="W732" s="279"/>
      <c r="X732" s="279"/>
      <c r="Y732" s="279"/>
      <c r="Z732" s="279"/>
      <c r="AA732" s="279"/>
      <c r="AB732" s="279"/>
      <c r="AC732" s="279"/>
      <c r="AD732" s="279"/>
      <c r="AE732" s="279"/>
      <c r="AF732" s="279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80"/>
      <c r="AR732" s="280"/>
      <c r="AS732" s="280"/>
      <c r="AT732" s="280"/>
    </row>
    <row r="733" ht="14.2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78"/>
      <c r="U733" s="278"/>
      <c r="V733" s="279"/>
      <c r="W733" s="279"/>
      <c r="X733" s="279"/>
      <c r="Y733" s="279"/>
      <c r="Z733" s="279"/>
      <c r="AA733" s="279"/>
      <c r="AB733" s="279"/>
      <c r="AC733" s="279"/>
      <c r="AD733" s="279"/>
      <c r="AE733" s="279"/>
      <c r="AF733" s="279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80"/>
      <c r="AR733" s="280"/>
      <c r="AS733" s="280"/>
      <c r="AT733" s="280"/>
    </row>
    <row r="734" ht="14.2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78"/>
      <c r="U734" s="278"/>
      <c r="V734" s="279"/>
      <c r="W734" s="279"/>
      <c r="X734" s="279"/>
      <c r="Y734" s="279"/>
      <c r="Z734" s="279"/>
      <c r="AA734" s="279"/>
      <c r="AB734" s="279"/>
      <c r="AC734" s="279"/>
      <c r="AD734" s="279"/>
      <c r="AE734" s="279"/>
      <c r="AF734" s="279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80"/>
      <c r="AR734" s="280"/>
      <c r="AS734" s="280"/>
      <c r="AT734" s="280"/>
    </row>
    <row r="735" ht="14.2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78"/>
      <c r="U735" s="278"/>
      <c r="V735" s="279"/>
      <c r="W735" s="279"/>
      <c r="X735" s="279"/>
      <c r="Y735" s="279"/>
      <c r="Z735" s="279"/>
      <c r="AA735" s="279"/>
      <c r="AB735" s="279"/>
      <c r="AC735" s="279"/>
      <c r="AD735" s="279"/>
      <c r="AE735" s="279"/>
      <c r="AF735" s="279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80"/>
      <c r="AR735" s="280"/>
      <c r="AS735" s="280"/>
      <c r="AT735" s="280"/>
    </row>
    <row r="736" ht="14.2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78"/>
      <c r="U736" s="278"/>
      <c r="V736" s="279"/>
      <c r="W736" s="279"/>
      <c r="X736" s="279"/>
      <c r="Y736" s="279"/>
      <c r="Z736" s="279"/>
      <c r="AA736" s="279"/>
      <c r="AB736" s="279"/>
      <c r="AC736" s="279"/>
      <c r="AD736" s="279"/>
      <c r="AE736" s="279"/>
      <c r="AF736" s="279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80"/>
      <c r="AR736" s="280"/>
      <c r="AS736" s="280"/>
      <c r="AT736" s="280"/>
    </row>
    <row r="737" ht="14.2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78"/>
      <c r="U737" s="278"/>
      <c r="V737" s="279"/>
      <c r="W737" s="279"/>
      <c r="X737" s="279"/>
      <c r="Y737" s="279"/>
      <c r="Z737" s="279"/>
      <c r="AA737" s="279"/>
      <c r="AB737" s="279"/>
      <c r="AC737" s="279"/>
      <c r="AD737" s="279"/>
      <c r="AE737" s="279"/>
      <c r="AF737" s="279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80"/>
      <c r="AR737" s="280"/>
      <c r="AS737" s="280"/>
      <c r="AT737" s="280"/>
    </row>
    <row r="738" ht="14.2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78"/>
      <c r="U738" s="278"/>
      <c r="V738" s="279"/>
      <c r="W738" s="279"/>
      <c r="X738" s="279"/>
      <c r="Y738" s="279"/>
      <c r="Z738" s="279"/>
      <c r="AA738" s="279"/>
      <c r="AB738" s="279"/>
      <c r="AC738" s="279"/>
      <c r="AD738" s="279"/>
      <c r="AE738" s="279"/>
      <c r="AF738" s="279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80"/>
      <c r="AR738" s="280"/>
      <c r="AS738" s="280"/>
      <c r="AT738" s="280"/>
    </row>
    <row r="739" ht="14.2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78"/>
      <c r="U739" s="278"/>
      <c r="V739" s="279"/>
      <c r="W739" s="279"/>
      <c r="X739" s="279"/>
      <c r="Y739" s="279"/>
      <c r="Z739" s="279"/>
      <c r="AA739" s="279"/>
      <c r="AB739" s="279"/>
      <c r="AC739" s="279"/>
      <c r="AD739" s="279"/>
      <c r="AE739" s="279"/>
      <c r="AF739" s="279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80"/>
      <c r="AR739" s="280"/>
      <c r="AS739" s="280"/>
      <c r="AT739" s="280"/>
    </row>
    <row r="740" ht="14.2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78"/>
      <c r="U740" s="278"/>
      <c r="V740" s="279"/>
      <c r="W740" s="279"/>
      <c r="X740" s="279"/>
      <c r="Y740" s="279"/>
      <c r="Z740" s="279"/>
      <c r="AA740" s="279"/>
      <c r="AB740" s="279"/>
      <c r="AC740" s="279"/>
      <c r="AD740" s="279"/>
      <c r="AE740" s="279"/>
      <c r="AF740" s="279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80"/>
      <c r="AR740" s="280"/>
      <c r="AS740" s="280"/>
      <c r="AT740" s="280"/>
    </row>
    <row r="741" ht="14.2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78"/>
      <c r="U741" s="278"/>
      <c r="V741" s="279"/>
      <c r="W741" s="279"/>
      <c r="X741" s="279"/>
      <c r="Y741" s="279"/>
      <c r="Z741" s="279"/>
      <c r="AA741" s="279"/>
      <c r="AB741" s="279"/>
      <c r="AC741" s="279"/>
      <c r="AD741" s="279"/>
      <c r="AE741" s="279"/>
      <c r="AF741" s="279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80"/>
      <c r="AR741" s="280"/>
      <c r="AS741" s="280"/>
      <c r="AT741" s="280"/>
    </row>
    <row r="742" ht="14.2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78"/>
      <c r="U742" s="278"/>
      <c r="V742" s="279"/>
      <c r="W742" s="279"/>
      <c r="X742" s="279"/>
      <c r="Y742" s="279"/>
      <c r="Z742" s="279"/>
      <c r="AA742" s="279"/>
      <c r="AB742" s="279"/>
      <c r="AC742" s="279"/>
      <c r="AD742" s="279"/>
      <c r="AE742" s="279"/>
      <c r="AF742" s="279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80"/>
      <c r="AR742" s="280"/>
      <c r="AS742" s="280"/>
      <c r="AT742" s="280"/>
    </row>
    <row r="743" ht="14.2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78"/>
      <c r="U743" s="278"/>
      <c r="V743" s="279"/>
      <c r="W743" s="279"/>
      <c r="X743" s="279"/>
      <c r="Y743" s="279"/>
      <c r="Z743" s="279"/>
      <c r="AA743" s="279"/>
      <c r="AB743" s="279"/>
      <c r="AC743" s="279"/>
      <c r="AD743" s="279"/>
      <c r="AE743" s="279"/>
      <c r="AF743" s="279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80"/>
      <c r="AR743" s="280"/>
      <c r="AS743" s="280"/>
      <c r="AT743" s="280"/>
    </row>
    <row r="744" ht="14.2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78"/>
      <c r="U744" s="278"/>
      <c r="V744" s="279"/>
      <c r="W744" s="279"/>
      <c r="X744" s="279"/>
      <c r="Y744" s="279"/>
      <c r="Z744" s="279"/>
      <c r="AA744" s="279"/>
      <c r="AB744" s="279"/>
      <c r="AC744" s="279"/>
      <c r="AD744" s="279"/>
      <c r="AE744" s="279"/>
      <c r="AF744" s="279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80"/>
      <c r="AR744" s="280"/>
      <c r="AS744" s="280"/>
      <c r="AT744" s="280"/>
    </row>
    <row r="745" ht="14.2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78"/>
      <c r="U745" s="278"/>
      <c r="V745" s="279"/>
      <c r="W745" s="279"/>
      <c r="X745" s="279"/>
      <c r="Y745" s="279"/>
      <c r="Z745" s="279"/>
      <c r="AA745" s="279"/>
      <c r="AB745" s="279"/>
      <c r="AC745" s="279"/>
      <c r="AD745" s="279"/>
      <c r="AE745" s="279"/>
      <c r="AF745" s="279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80"/>
      <c r="AR745" s="280"/>
      <c r="AS745" s="280"/>
      <c r="AT745" s="280"/>
    </row>
    <row r="746" ht="14.2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78"/>
      <c r="U746" s="278"/>
      <c r="V746" s="279"/>
      <c r="W746" s="279"/>
      <c r="X746" s="279"/>
      <c r="Y746" s="279"/>
      <c r="Z746" s="279"/>
      <c r="AA746" s="279"/>
      <c r="AB746" s="279"/>
      <c r="AC746" s="279"/>
      <c r="AD746" s="279"/>
      <c r="AE746" s="279"/>
      <c r="AF746" s="279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80"/>
      <c r="AR746" s="280"/>
      <c r="AS746" s="280"/>
      <c r="AT746" s="280"/>
    </row>
    <row r="747" ht="14.2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78"/>
      <c r="U747" s="278"/>
      <c r="V747" s="279"/>
      <c r="W747" s="279"/>
      <c r="X747" s="279"/>
      <c r="Y747" s="279"/>
      <c r="Z747" s="279"/>
      <c r="AA747" s="279"/>
      <c r="AB747" s="279"/>
      <c r="AC747" s="279"/>
      <c r="AD747" s="279"/>
      <c r="AE747" s="279"/>
      <c r="AF747" s="279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80"/>
      <c r="AR747" s="280"/>
      <c r="AS747" s="280"/>
      <c r="AT747" s="280"/>
    </row>
    <row r="748" ht="14.2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78"/>
      <c r="U748" s="278"/>
      <c r="V748" s="279"/>
      <c r="W748" s="279"/>
      <c r="X748" s="279"/>
      <c r="Y748" s="279"/>
      <c r="Z748" s="279"/>
      <c r="AA748" s="279"/>
      <c r="AB748" s="279"/>
      <c r="AC748" s="279"/>
      <c r="AD748" s="279"/>
      <c r="AE748" s="279"/>
      <c r="AF748" s="279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80"/>
      <c r="AR748" s="280"/>
      <c r="AS748" s="280"/>
      <c r="AT748" s="280"/>
    </row>
    <row r="749" ht="14.2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78"/>
      <c r="U749" s="278"/>
      <c r="V749" s="279"/>
      <c r="W749" s="279"/>
      <c r="X749" s="279"/>
      <c r="Y749" s="279"/>
      <c r="Z749" s="279"/>
      <c r="AA749" s="279"/>
      <c r="AB749" s="279"/>
      <c r="AC749" s="279"/>
      <c r="AD749" s="279"/>
      <c r="AE749" s="279"/>
      <c r="AF749" s="279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80"/>
      <c r="AR749" s="280"/>
      <c r="AS749" s="280"/>
      <c r="AT749" s="280"/>
    </row>
    <row r="750" ht="14.2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78"/>
      <c r="U750" s="278"/>
      <c r="V750" s="279"/>
      <c r="W750" s="279"/>
      <c r="X750" s="279"/>
      <c r="Y750" s="279"/>
      <c r="Z750" s="279"/>
      <c r="AA750" s="279"/>
      <c r="AB750" s="279"/>
      <c r="AC750" s="279"/>
      <c r="AD750" s="279"/>
      <c r="AE750" s="279"/>
      <c r="AF750" s="279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80"/>
      <c r="AR750" s="280"/>
      <c r="AS750" s="280"/>
      <c r="AT750" s="280"/>
    </row>
    <row r="751" ht="14.2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78"/>
      <c r="U751" s="278"/>
      <c r="V751" s="279"/>
      <c r="W751" s="279"/>
      <c r="X751" s="279"/>
      <c r="Y751" s="279"/>
      <c r="Z751" s="279"/>
      <c r="AA751" s="279"/>
      <c r="AB751" s="279"/>
      <c r="AC751" s="279"/>
      <c r="AD751" s="279"/>
      <c r="AE751" s="279"/>
      <c r="AF751" s="279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80"/>
      <c r="AR751" s="280"/>
      <c r="AS751" s="280"/>
      <c r="AT751" s="280"/>
    </row>
    <row r="752" ht="14.2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78"/>
      <c r="U752" s="278"/>
      <c r="V752" s="279"/>
      <c r="W752" s="279"/>
      <c r="X752" s="279"/>
      <c r="Y752" s="279"/>
      <c r="Z752" s="279"/>
      <c r="AA752" s="279"/>
      <c r="AB752" s="279"/>
      <c r="AC752" s="279"/>
      <c r="AD752" s="279"/>
      <c r="AE752" s="279"/>
      <c r="AF752" s="279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80"/>
      <c r="AR752" s="280"/>
      <c r="AS752" s="280"/>
      <c r="AT752" s="280"/>
    </row>
    <row r="753" ht="14.2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78"/>
      <c r="U753" s="278"/>
      <c r="V753" s="279"/>
      <c r="W753" s="279"/>
      <c r="X753" s="279"/>
      <c r="Y753" s="279"/>
      <c r="Z753" s="279"/>
      <c r="AA753" s="279"/>
      <c r="AB753" s="279"/>
      <c r="AC753" s="279"/>
      <c r="AD753" s="279"/>
      <c r="AE753" s="279"/>
      <c r="AF753" s="279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80"/>
      <c r="AR753" s="280"/>
      <c r="AS753" s="280"/>
      <c r="AT753" s="280"/>
    </row>
    <row r="754" ht="14.2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78"/>
      <c r="U754" s="278"/>
      <c r="V754" s="279"/>
      <c r="W754" s="279"/>
      <c r="X754" s="279"/>
      <c r="Y754" s="279"/>
      <c r="Z754" s="279"/>
      <c r="AA754" s="279"/>
      <c r="AB754" s="279"/>
      <c r="AC754" s="279"/>
      <c r="AD754" s="279"/>
      <c r="AE754" s="279"/>
      <c r="AF754" s="279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80"/>
      <c r="AR754" s="280"/>
      <c r="AS754" s="280"/>
      <c r="AT754" s="280"/>
    </row>
    <row r="755" ht="14.2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78"/>
      <c r="U755" s="278"/>
      <c r="V755" s="279"/>
      <c r="W755" s="279"/>
      <c r="X755" s="279"/>
      <c r="Y755" s="279"/>
      <c r="Z755" s="279"/>
      <c r="AA755" s="279"/>
      <c r="AB755" s="279"/>
      <c r="AC755" s="279"/>
      <c r="AD755" s="279"/>
      <c r="AE755" s="279"/>
      <c r="AF755" s="279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80"/>
      <c r="AR755" s="280"/>
      <c r="AS755" s="280"/>
      <c r="AT755" s="280"/>
    </row>
    <row r="756" ht="14.2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78"/>
      <c r="U756" s="278"/>
      <c r="V756" s="279"/>
      <c r="W756" s="279"/>
      <c r="X756" s="279"/>
      <c r="Y756" s="279"/>
      <c r="Z756" s="279"/>
      <c r="AA756" s="279"/>
      <c r="AB756" s="279"/>
      <c r="AC756" s="279"/>
      <c r="AD756" s="279"/>
      <c r="AE756" s="279"/>
      <c r="AF756" s="279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80"/>
      <c r="AR756" s="280"/>
      <c r="AS756" s="280"/>
      <c r="AT756" s="280"/>
    </row>
    <row r="757" ht="14.2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78"/>
      <c r="U757" s="278"/>
      <c r="V757" s="279"/>
      <c r="W757" s="279"/>
      <c r="X757" s="279"/>
      <c r="Y757" s="279"/>
      <c r="Z757" s="279"/>
      <c r="AA757" s="279"/>
      <c r="AB757" s="279"/>
      <c r="AC757" s="279"/>
      <c r="AD757" s="279"/>
      <c r="AE757" s="279"/>
      <c r="AF757" s="279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80"/>
      <c r="AR757" s="280"/>
      <c r="AS757" s="280"/>
      <c r="AT757" s="280"/>
    </row>
    <row r="758" ht="14.2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78"/>
      <c r="U758" s="278"/>
      <c r="V758" s="279"/>
      <c r="W758" s="279"/>
      <c r="X758" s="279"/>
      <c r="Y758" s="279"/>
      <c r="Z758" s="279"/>
      <c r="AA758" s="279"/>
      <c r="AB758" s="279"/>
      <c r="AC758" s="279"/>
      <c r="AD758" s="279"/>
      <c r="AE758" s="279"/>
      <c r="AF758" s="279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80"/>
      <c r="AR758" s="280"/>
      <c r="AS758" s="280"/>
      <c r="AT758" s="280"/>
    </row>
    <row r="759" ht="14.2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78"/>
      <c r="U759" s="278"/>
      <c r="V759" s="279"/>
      <c r="W759" s="279"/>
      <c r="X759" s="279"/>
      <c r="Y759" s="279"/>
      <c r="Z759" s="279"/>
      <c r="AA759" s="279"/>
      <c r="AB759" s="279"/>
      <c r="AC759" s="279"/>
      <c r="AD759" s="279"/>
      <c r="AE759" s="279"/>
      <c r="AF759" s="279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80"/>
      <c r="AR759" s="280"/>
      <c r="AS759" s="280"/>
      <c r="AT759" s="280"/>
    </row>
    <row r="760" ht="14.2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78"/>
      <c r="U760" s="278"/>
      <c r="V760" s="279"/>
      <c r="W760" s="279"/>
      <c r="X760" s="279"/>
      <c r="Y760" s="279"/>
      <c r="Z760" s="279"/>
      <c r="AA760" s="279"/>
      <c r="AB760" s="279"/>
      <c r="AC760" s="279"/>
      <c r="AD760" s="279"/>
      <c r="AE760" s="279"/>
      <c r="AF760" s="279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80"/>
      <c r="AR760" s="280"/>
      <c r="AS760" s="280"/>
      <c r="AT760" s="280"/>
    </row>
    <row r="761" ht="14.2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78"/>
      <c r="U761" s="278"/>
      <c r="V761" s="279"/>
      <c r="W761" s="279"/>
      <c r="X761" s="279"/>
      <c r="Y761" s="279"/>
      <c r="Z761" s="279"/>
      <c r="AA761" s="279"/>
      <c r="AB761" s="279"/>
      <c r="AC761" s="279"/>
      <c r="AD761" s="279"/>
      <c r="AE761" s="279"/>
      <c r="AF761" s="279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80"/>
      <c r="AR761" s="280"/>
      <c r="AS761" s="280"/>
      <c r="AT761" s="280"/>
    </row>
    <row r="762" ht="14.2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78"/>
      <c r="U762" s="278"/>
      <c r="V762" s="279"/>
      <c r="W762" s="279"/>
      <c r="X762" s="279"/>
      <c r="Y762" s="279"/>
      <c r="Z762" s="279"/>
      <c r="AA762" s="279"/>
      <c r="AB762" s="279"/>
      <c r="AC762" s="279"/>
      <c r="AD762" s="279"/>
      <c r="AE762" s="279"/>
      <c r="AF762" s="279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80"/>
      <c r="AR762" s="280"/>
      <c r="AS762" s="280"/>
      <c r="AT762" s="280"/>
    </row>
    <row r="763" ht="14.2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78"/>
      <c r="U763" s="278"/>
      <c r="V763" s="279"/>
      <c r="W763" s="279"/>
      <c r="X763" s="279"/>
      <c r="Y763" s="279"/>
      <c r="Z763" s="279"/>
      <c r="AA763" s="279"/>
      <c r="AB763" s="279"/>
      <c r="AC763" s="279"/>
      <c r="AD763" s="279"/>
      <c r="AE763" s="279"/>
      <c r="AF763" s="279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80"/>
      <c r="AR763" s="280"/>
      <c r="AS763" s="280"/>
      <c r="AT763" s="280"/>
    </row>
    <row r="764" ht="14.2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78"/>
      <c r="U764" s="278"/>
      <c r="V764" s="279"/>
      <c r="W764" s="279"/>
      <c r="X764" s="279"/>
      <c r="Y764" s="279"/>
      <c r="Z764" s="279"/>
      <c r="AA764" s="279"/>
      <c r="AB764" s="279"/>
      <c r="AC764" s="279"/>
      <c r="AD764" s="279"/>
      <c r="AE764" s="279"/>
      <c r="AF764" s="279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80"/>
      <c r="AR764" s="280"/>
      <c r="AS764" s="280"/>
      <c r="AT764" s="280"/>
    </row>
    <row r="765" ht="14.2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78"/>
      <c r="U765" s="278"/>
      <c r="V765" s="279"/>
      <c r="W765" s="279"/>
      <c r="X765" s="279"/>
      <c r="Y765" s="279"/>
      <c r="Z765" s="279"/>
      <c r="AA765" s="279"/>
      <c r="AB765" s="279"/>
      <c r="AC765" s="279"/>
      <c r="AD765" s="279"/>
      <c r="AE765" s="279"/>
      <c r="AF765" s="279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80"/>
      <c r="AR765" s="280"/>
      <c r="AS765" s="280"/>
      <c r="AT765" s="280"/>
    </row>
    <row r="766" ht="14.2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78"/>
      <c r="U766" s="278"/>
      <c r="V766" s="279"/>
      <c r="W766" s="279"/>
      <c r="X766" s="279"/>
      <c r="Y766" s="279"/>
      <c r="Z766" s="279"/>
      <c r="AA766" s="279"/>
      <c r="AB766" s="279"/>
      <c r="AC766" s="279"/>
      <c r="AD766" s="279"/>
      <c r="AE766" s="279"/>
      <c r="AF766" s="279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80"/>
      <c r="AR766" s="280"/>
      <c r="AS766" s="280"/>
      <c r="AT766" s="280"/>
    </row>
    <row r="767" ht="14.2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78"/>
      <c r="U767" s="278"/>
      <c r="V767" s="279"/>
      <c r="W767" s="279"/>
      <c r="X767" s="279"/>
      <c r="Y767" s="279"/>
      <c r="Z767" s="279"/>
      <c r="AA767" s="279"/>
      <c r="AB767" s="279"/>
      <c r="AC767" s="279"/>
      <c r="AD767" s="279"/>
      <c r="AE767" s="279"/>
      <c r="AF767" s="279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80"/>
      <c r="AR767" s="280"/>
      <c r="AS767" s="280"/>
      <c r="AT767" s="280"/>
    </row>
    <row r="768" ht="14.2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78"/>
      <c r="U768" s="278"/>
      <c r="V768" s="279"/>
      <c r="W768" s="279"/>
      <c r="X768" s="279"/>
      <c r="Y768" s="279"/>
      <c r="Z768" s="279"/>
      <c r="AA768" s="279"/>
      <c r="AB768" s="279"/>
      <c r="AC768" s="279"/>
      <c r="AD768" s="279"/>
      <c r="AE768" s="279"/>
      <c r="AF768" s="279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80"/>
      <c r="AR768" s="280"/>
      <c r="AS768" s="280"/>
      <c r="AT768" s="280"/>
    </row>
    <row r="769" ht="14.2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78"/>
      <c r="U769" s="278"/>
      <c r="V769" s="279"/>
      <c r="W769" s="279"/>
      <c r="X769" s="279"/>
      <c r="Y769" s="279"/>
      <c r="Z769" s="279"/>
      <c r="AA769" s="279"/>
      <c r="AB769" s="279"/>
      <c r="AC769" s="279"/>
      <c r="AD769" s="279"/>
      <c r="AE769" s="279"/>
      <c r="AF769" s="279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80"/>
      <c r="AR769" s="280"/>
      <c r="AS769" s="280"/>
      <c r="AT769" s="280"/>
    </row>
    <row r="770" ht="14.2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78"/>
      <c r="U770" s="278"/>
      <c r="V770" s="279"/>
      <c r="W770" s="279"/>
      <c r="X770" s="279"/>
      <c r="Y770" s="279"/>
      <c r="Z770" s="279"/>
      <c r="AA770" s="279"/>
      <c r="AB770" s="279"/>
      <c r="AC770" s="279"/>
      <c r="AD770" s="279"/>
      <c r="AE770" s="279"/>
      <c r="AF770" s="279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80"/>
      <c r="AR770" s="280"/>
      <c r="AS770" s="280"/>
      <c r="AT770" s="280"/>
    </row>
    <row r="771" ht="14.2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78"/>
      <c r="U771" s="278"/>
      <c r="V771" s="279"/>
      <c r="W771" s="279"/>
      <c r="X771" s="279"/>
      <c r="Y771" s="279"/>
      <c r="Z771" s="279"/>
      <c r="AA771" s="279"/>
      <c r="AB771" s="279"/>
      <c r="AC771" s="279"/>
      <c r="AD771" s="279"/>
      <c r="AE771" s="279"/>
      <c r="AF771" s="279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80"/>
      <c r="AR771" s="280"/>
      <c r="AS771" s="280"/>
      <c r="AT771" s="280"/>
    </row>
    <row r="772" ht="14.2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78"/>
      <c r="U772" s="278"/>
      <c r="V772" s="279"/>
      <c r="W772" s="279"/>
      <c r="X772" s="279"/>
      <c r="Y772" s="279"/>
      <c r="Z772" s="279"/>
      <c r="AA772" s="279"/>
      <c r="AB772" s="279"/>
      <c r="AC772" s="279"/>
      <c r="AD772" s="279"/>
      <c r="AE772" s="279"/>
      <c r="AF772" s="279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80"/>
      <c r="AR772" s="280"/>
      <c r="AS772" s="280"/>
      <c r="AT772" s="280"/>
    </row>
    <row r="773" ht="14.2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78"/>
      <c r="U773" s="278"/>
      <c r="V773" s="279"/>
      <c r="W773" s="279"/>
      <c r="X773" s="279"/>
      <c r="Y773" s="279"/>
      <c r="Z773" s="279"/>
      <c r="AA773" s="279"/>
      <c r="AB773" s="279"/>
      <c r="AC773" s="279"/>
      <c r="AD773" s="279"/>
      <c r="AE773" s="279"/>
      <c r="AF773" s="279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80"/>
      <c r="AR773" s="280"/>
      <c r="AS773" s="280"/>
      <c r="AT773" s="280"/>
    </row>
    <row r="774" ht="14.2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78"/>
      <c r="U774" s="278"/>
      <c r="V774" s="279"/>
      <c r="W774" s="279"/>
      <c r="X774" s="279"/>
      <c r="Y774" s="279"/>
      <c r="Z774" s="279"/>
      <c r="AA774" s="279"/>
      <c r="AB774" s="279"/>
      <c r="AC774" s="279"/>
      <c r="AD774" s="279"/>
      <c r="AE774" s="279"/>
      <c r="AF774" s="279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80"/>
      <c r="AR774" s="280"/>
      <c r="AS774" s="280"/>
      <c r="AT774" s="280"/>
    </row>
    <row r="775" ht="14.2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78"/>
      <c r="U775" s="278"/>
      <c r="V775" s="279"/>
      <c r="W775" s="279"/>
      <c r="X775" s="279"/>
      <c r="Y775" s="279"/>
      <c r="Z775" s="279"/>
      <c r="AA775" s="279"/>
      <c r="AB775" s="279"/>
      <c r="AC775" s="279"/>
      <c r="AD775" s="279"/>
      <c r="AE775" s="279"/>
      <c r="AF775" s="279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80"/>
      <c r="AR775" s="280"/>
      <c r="AS775" s="280"/>
      <c r="AT775" s="280"/>
    </row>
    <row r="776" ht="14.2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78"/>
      <c r="U776" s="278"/>
      <c r="V776" s="279"/>
      <c r="W776" s="279"/>
      <c r="X776" s="279"/>
      <c r="Y776" s="279"/>
      <c r="Z776" s="279"/>
      <c r="AA776" s="279"/>
      <c r="AB776" s="279"/>
      <c r="AC776" s="279"/>
      <c r="AD776" s="279"/>
      <c r="AE776" s="279"/>
      <c r="AF776" s="279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80"/>
      <c r="AR776" s="280"/>
      <c r="AS776" s="280"/>
      <c r="AT776" s="280"/>
    </row>
    <row r="777" ht="14.2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78"/>
      <c r="U777" s="278"/>
      <c r="V777" s="279"/>
      <c r="W777" s="279"/>
      <c r="X777" s="279"/>
      <c r="Y777" s="279"/>
      <c r="Z777" s="279"/>
      <c r="AA777" s="279"/>
      <c r="AB777" s="279"/>
      <c r="AC777" s="279"/>
      <c r="AD777" s="279"/>
      <c r="AE777" s="279"/>
      <c r="AF777" s="279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80"/>
      <c r="AR777" s="280"/>
      <c r="AS777" s="280"/>
      <c r="AT777" s="280"/>
    </row>
    <row r="778" ht="14.2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78"/>
      <c r="U778" s="278"/>
      <c r="V778" s="279"/>
      <c r="W778" s="279"/>
      <c r="X778" s="279"/>
      <c r="Y778" s="279"/>
      <c r="Z778" s="279"/>
      <c r="AA778" s="279"/>
      <c r="AB778" s="279"/>
      <c r="AC778" s="279"/>
      <c r="AD778" s="279"/>
      <c r="AE778" s="279"/>
      <c r="AF778" s="279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80"/>
      <c r="AR778" s="280"/>
      <c r="AS778" s="280"/>
      <c r="AT778" s="280"/>
    </row>
    <row r="779" ht="14.2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78"/>
      <c r="U779" s="278"/>
      <c r="V779" s="279"/>
      <c r="W779" s="279"/>
      <c r="X779" s="279"/>
      <c r="Y779" s="279"/>
      <c r="Z779" s="279"/>
      <c r="AA779" s="279"/>
      <c r="AB779" s="279"/>
      <c r="AC779" s="279"/>
      <c r="AD779" s="279"/>
      <c r="AE779" s="279"/>
      <c r="AF779" s="279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80"/>
      <c r="AR779" s="280"/>
      <c r="AS779" s="280"/>
      <c r="AT779" s="280"/>
    </row>
    <row r="780" ht="14.2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78"/>
      <c r="U780" s="278"/>
      <c r="V780" s="279"/>
      <c r="W780" s="279"/>
      <c r="X780" s="279"/>
      <c r="Y780" s="279"/>
      <c r="Z780" s="279"/>
      <c r="AA780" s="279"/>
      <c r="AB780" s="279"/>
      <c r="AC780" s="279"/>
      <c r="AD780" s="279"/>
      <c r="AE780" s="279"/>
      <c r="AF780" s="279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80"/>
      <c r="AR780" s="280"/>
      <c r="AS780" s="280"/>
      <c r="AT780" s="280"/>
    </row>
    <row r="781" ht="14.2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78"/>
      <c r="U781" s="278"/>
      <c r="V781" s="279"/>
      <c r="W781" s="279"/>
      <c r="X781" s="279"/>
      <c r="Y781" s="279"/>
      <c r="Z781" s="279"/>
      <c r="AA781" s="279"/>
      <c r="AB781" s="279"/>
      <c r="AC781" s="279"/>
      <c r="AD781" s="279"/>
      <c r="AE781" s="279"/>
      <c r="AF781" s="279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80"/>
      <c r="AR781" s="280"/>
      <c r="AS781" s="280"/>
      <c r="AT781" s="280"/>
    </row>
    <row r="782" ht="14.2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78"/>
      <c r="U782" s="278"/>
      <c r="V782" s="279"/>
      <c r="W782" s="279"/>
      <c r="X782" s="279"/>
      <c r="Y782" s="279"/>
      <c r="Z782" s="279"/>
      <c r="AA782" s="279"/>
      <c r="AB782" s="279"/>
      <c r="AC782" s="279"/>
      <c r="AD782" s="279"/>
      <c r="AE782" s="279"/>
      <c r="AF782" s="279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80"/>
      <c r="AR782" s="280"/>
      <c r="AS782" s="280"/>
      <c r="AT782" s="280"/>
    </row>
    <row r="783" ht="14.2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78"/>
      <c r="U783" s="278"/>
      <c r="V783" s="279"/>
      <c r="W783" s="279"/>
      <c r="X783" s="279"/>
      <c r="Y783" s="279"/>
      <c r="Z783" s="279"/>
      <c r="AA783" s="279"/>
      <c r="AB783" s="279"/>
      <c r="AC783" s="279"/>
      <c r="AD783" s="279"/>
      <c r="AE783" s="279"/>
      <c r="AF783" s="279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80"/>
      <c r="AR783" s="280"/>
      <c r="AS783" s="280"/>
      <c r="AT783" s="280"/>
    </row>
    <row r="784" ht="14.2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78"/>
      <c r="U784" s="278"/>
      <c r="V784" s="279"/>
      <c r="W784" s="279"/>
      <c r="X784" s="279"/>
      <c r="Y784" s="279"/>
      <c r="Z784" s="279"/>
      <c r="AA784" s="279"/>
      <c r="AB784" s="279"/>
      <c r="AC784" s="279"/>
      <c r="AD784" s="279"/>
      <c r="AE784" s="279"/>
      <c r="AF784" s="279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80"/>
      <c r="AR784" s="280"/>
      <c r="AS784" s="280"/>
      <c r="AT784" s="280"/>
    </row>
    <row r="785" ht="14.2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78"/>
      <c r="U785" s="278"/>
      <c r="V785" s="279"/>
      <c r="W785" s="279"/>
      <c r="X785" s="279"/>
      <c r="Y785" s="279"/>
      <c r="Z785" s="279"/>
      <c r="AA785" s="279"/>
      <c r="AB785" s="279"/>
      <c r="AC785" s="279"/>
      <c r="AD785" s="279"/>
      <c r="AE785" s="279"/>
      <c r="AF785" s="279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80"/>
      <c r="AR785" s="280"/>
      <c r="AS785" s="280"/>
      <c r="AT785" s="280"/>
    </row>
    <row r="786" ht="14.2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78"/>
      <c r="U786" s="278"/>
      <c r="V786" s="279"/>
      <c r="W786" s="279"/>
      <c r="X786" s="279"/>
      <c r="Y786" s="279"/>
      <c r="Z786" s="279"/>
      <c r="AA786" s="279"/>
      <c r="AB786" s="279"/>
      <c r="AC786" s="279"/>
      <c r="AD786" s="279"/>
      <c r="AE786" s="279"/>
      <c r="AF786" s="279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80"/>
      <c r="AR786" s="280"/>
      <c r="AS786" s="280"/>
      <c r="AT786" s="280"/>
    </row>
    <row r="787" ht="14.2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78"/>
      <c r="U787" s="278"/>
      <c r="V787" s="279"/>
      <c r="W787" s="279"/>
      <c r="X787" s="279"/>
      <c r="Y787" s="279"/>
      <c r="Z787" s="279"/>
      <c r="AA787" s="279"/>
      <c r="AB787" s="279"/>
      <c r="AC787" s="279"/>
      <c r="AD787" s="279"/>
      <c r="AE787" s="279"/>
      <c r="AF787" s="279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80"/>
      <c r="AR787" s="280"/>
      <c r="AS787" s="280"/>
      <c r="AT787" s="280"/>
    </row>
    <row r="788" ht="14.2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78"/>
      <c r="U788" s="278"/>
      <c r="V788" s="279"/>
      <c r="W788" s="279"/>
      <c r="X788" s="279"/>
      <c r="Y788" s="279"/>
      <c r="Z788" s="279"/>
      <c r="AA788" s="279"/>
      <c r="AB788" s="279"/>
      <c r="AC788" s="279"/>
      <c r="AD788" s="279"/>
      <c r="AE788" s="279"/>
      <c r="AF788" s="279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80"/>
      <c r="AR788" s="280"/>
      <c r="AS788" s="280"/>
      <c r="AT788" s="280"/>
    </row>
    <row r="789" ht="14.2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78"/>
      <c r="U789" s="278"/>
      <c r="V789" s="279"/>
      <c r="W789" s="279"/>
      <c r="X789" s="279"/>
      <c r="Y789" s="279"/>
      <c r="Z789" s="279"/>
      <c r="AA789" s="279"/>
      <c r="AB789" s="279"/>
      <c r="AC789" s="279"/>
      <c r="AD789" s="279"/>
      <c r="AE789" s="279"/>
      <c r="AF789" s="279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80"/>
      <c r="AR789" s="280"/>
      <c r="AS789" s="280"/>
      <c r="AT789" s="280"/>
    </row>
    <row r="790" ht="14.2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78"/>
      <c r="U790" s="278"/>
      <c r="V790" s="279"/>
      <c r="W790" s="279"/>
      <c r="X790" s="279"/>
      <c r="Y790" s="279"/>
      <c r="Z790" s="279"/>
      <c r="AA790" s="279"/>
      <c r="AB790" s="279"/>
      <c r="AC790" s="279"/>
      <c r="AD790" s="279"/>
      <c r="AE790" s="279"/>
      <c r="AF790" s="279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80"/>
      <c r="AR790" s="280"/>
      <c r="AS790" s="280"/>
      <c r="AT790" s="280"/>
    </row>
    <row r="791" ht="14.2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78"/>
      <c r="U791" s="278"/>
      <c r="V791" s="279"/>
      <c r="W791" s="279"/>
      <c r="X791" s="279"/>
      <c r="Y791" s="279"/>
      <c r="Z791" s="279"/>
      <c r="AA791" s="279"/>
      <c r="AB791" s="279"/>
      <c r="AC791" s="279"/>
      <c r="AD791" s="279"/>
      <c r="AE791" s="279"/>
      <c r="AF791" s="279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80"/>
      <c r="AR791" s="280"/>
      <c r="AS791" s="280"/>
      <c r="AT791" s="280"/>
    </row>
    <row r="792" ht="14.2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78"/>
      <c r="U792" s="278"/>
      <c r="V792" s="279"/>
      <c r="W792" s="279"/>
      <c r="X792" s="279"/>
      <c r="Y792" s="279"/>
      <c r="Z792" s="279"/>
      <c r="AA792" s="279"/>
      <c r="AB792" s="279"/>
      <c r="AC792" s="279"/>
      <c r="AD792" s="279"/>
      <c r="AE792" s="279"/>
      <c r="AF792" s="279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80"/>
      <c r="AR792" s="280"/>
      <c r="AS792" s="280"/>
      <c r="AT792" s="280"/>
    </row>
    <row r="793" ht="14.2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78"/>
      <c r="U793" s="278"/>
      <c r="V793" s="279"/>
      <c r="W793" s="279"/>
      <c r="X793" s="279"/>
      <c r="Y793" s="279"/>
      <c r="Z793" s="279"/>
      <c r="AA793" s="279"/>
      <c r="AB793" s="279"/>
      <c r="AC793" s="279"/>
      <c r="AD793" s="279"/>
      <c r="AE793" s="279"/>
      <c r="AF793" s="279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80"/>
      <c r="AR793" s="280"/>
      <c r="AS793" s="280"/>
      <c r="AT793" s="280"/>
    </row>
    <row r="794" ht="14.2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78"/>
      <c r="U794" s="278"/>
      <c r="V794" s="279"/>
      <c r="W794" s="279"/>
      <c r="X794" s="279"/>
      <c r="Y794" s="279"/>
      <c r="Z794" s="279"/>
      <c r="AA794" s="279"/>
      <c r="AB794" s="279"/>
      <c r="AC794" s="279"/>
      <c r="AD794" s="279"/>
      <c r="AE794" s="279"/>
      <c r="AF794" s="279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80"/>
      <c r="AR794" s="280"/>
      <c r="AS794" s="280"/>
      <c r="AT794" s="280"/>
    </row>
    <row r="795" ht="14.2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78"/>
      <c r="U795" s="278"/>
      <c r="V795" s="279"/>
      <c r="W795" s="279"/>
      <c r="X795" s="279"/>
      <c r="Y795" s="279"/>
      <c r="Z795" s="279"/>
      <c r="AA795" s="279"/>
      <c r="AB795" s="279"/>
      <c r="AC795" s="279"/>
      <c r="AD795" s="279"/>
      <c r="AE795" s="279"/>
      <c r="AF795" s="279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80"/>
      <c r="AR795" s="280"/>
      <c r="AS795" s="280"/>
      <c r="AT795" s="280"/>
    </row>
    <row r="796" ht="14.2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78"/>
      <c r="U796" s="278"/>
      <c r="V796" s="279"/>
      <c r="W796" s="279"/>
      <c r="X796" s="279"/>
      <c r="Y796" s="279"/>
      <c r="Z796" s="279"/>
      <c r="AA796" s="279"/>
      <c r="AB796" s="279"/>
      <c r="AC796" s="279"/>
      <c r="AD796" s="279"/>
      <c r="AE796" s="279"/>
      <c r="AF796" s="279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80"/>
      <c r="AR796" s="280"/>
      <c r="AS796" s="280"/>
      <c r="AT796" s="280"/>
    </row>
    <row r="797" ht="14.2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78"/>
      <c r="U797" s="278"/>
      <c r="V797" s="279"/>
      <c r="W797" s="279"/>
      <c r="X797" s="279"/>
      <c r="Y797" s="279"/>
      <c r="Z797" s="279"/>
      <c r="AA797" s="279"/>
      <c r="AB797" s="279"/>
      <c r="AC797" s="279"/>
      <c r="AD797" s="279"/>
      <c r="AE797" s="279"/>
      <c r="AF797" s="279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80"/>
      <c r="AR797" s="280"/>
      <c r="AS797" s="280"/>
      <c r="AT797" s="280"/>
    </row>
    <row r="798" ht="14.2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78"/>
      <c r="U798" s="278"/>
      <c r="V798" s="279"/>
      <c r="W798" s="279"/>
      <c r="X798" s="279"/>
      <c r="Y798" s="279"/>
      <c r="Z798" s="279"/>
      <c r="AA798" s="279"/>
      <c r="AB798" s="279"/>
      <c r="AC798" s="279"/>
      <c r="AD798" s="279"/>
      <c r="AE798" s="279"/>
      <c r="AF798" s="279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80"/>
      <c r="AR798" s="280"/>
      <c r="AS798" s="280"/>
      <c r="AT798" s="280"/>
    </row>
    <row r="799" ht="14.2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78"/>
      <c r="U799" s="278"/>
      <c r="V799" s="279"/>
      <c r="W799" s="279"/>
      <c r="X799" s="279"/>
      <c r="Y799" s="279"/>
      <c r="Z799" s="279"/>
      <c r="AA799" s="279"/>
      <c r="AB799" s="279"/>
      <c r="AC799" s="279"/>
      <c r="AD799" s="279"/>
      <c r="AE799" s="279"/>
      <c r="AF799" s="279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80"/>
      <c r="AR799" s="280"/>
      <c r="AS799" s="280"/>
      <c r="AT799" s="280"/>
    </row>
    <row r="800" ht="14.2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78"/>
      <c r="U800" s="278"/>
      <c r="V800" s="279"/>
      <c r="W800" s="279"/>
      <c r="X800" s="279"/>
      <c r="Y800" s="279"/>
      <c r="Z800" s="279"/>
      <c r="AA800" s="279"/>
      <c r="AB800" s="279"/>
      <c r="AC800" s="279"/>
      <c r="AD800" s="279"/>
      <c r="AE800" s="279"/>
      <c r="AF800" s="279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80"/>
      <c r="AR800" s="280"/>
      <c r="AS800" s="280"/>
      <c r="AT800" s="280"/>
    </row>
    <row r="801" ht="14.2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78"/>
      <c r="U801" s="278"/>
      <c r="V801" s="279"/>
      <c r="W801" s="279"/>
      <c r="X801" s="279"/>
      <c r="Y801" s="279"/>
      <c r="Z801" s="279"/>
      <c r="AA801" s="279"/>
      <c r="AB801" s="279"/>
      <c r="AC801" s="279"/>
      <c r="AD801" s="279"/>
      <c r="AE801" s="279"/>
      <c r="AF801" s="279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80"/>
      <c r="AR801" s="280"/>
      <c r="AS801" s="280"/>
      <c r="AT801" s="280"/>
    </row>
    <row r="802" ht="14.2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78"/>
      <c r="U802" s="278"/>
      <c r="V802" s="279"/>
      <c r="W802" s="279"/>
      <c r="X802" s="279"/>
      <c r="Y802" s="279"/>
      <c r="Z802" s="279"/>
      <c r="AA802" s="279"/>
      <c r="AB802" s="279"/>
      <c r="AC802" s="279"/>
      <c r="AD802" s="279"/>
      <c r="AE802" s="279"/>
      <c r="AF802" s="279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80"/>
      <c r="AR802" s="280"/>
      <c r="AS802" s="280"/>
      <c r="AT802" s="280"/>
    </row>
    <row r="803" ht="14.2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78"/>
      <c r="U803" s="278"/>
      <c r="V803" s="279"/>
      <c r="W803" s="279"/>
      <c r="X803" s="279"/>
      <c r="Y803" s="279"/>
      <c r="Z803" s="279"/>
      <c r="AA803" s="279"/>
      <c r="AB803" s="279"/>
      <c r="AC803" s="279"/>
      <c r="AD803" s="279"/>
      <c r="AE803" s="279"/>
      <c r="AF803" s="279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80"/>
      <c r="AR803" s="280"/>
      <c r="AS803" s="280"/>
      <c r="AT803" s="280"/>
    </row>
    <row r="804" ht="14.2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78"/>
      <c r="U804" s="278"/>
      <c r="V804" s="279"/>
      <c r="W804" s="279"/>
      <c r="X804" s="279"/>
      <c r="Y804" s="279"/>
      <c r="Z804" s="279"/>
      <c r="AA804" s="279"/>
      <c r="AB804" s="279"/>
      <c r="AC804" s="279"/>
      <c r="AD804" s="279"/>
      <c r="AE804" s="279"/>
      <c r="AF804" s="279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80"/>
      <c r="AR804" s="280"/>
      <c r="AS804" s="280"/>
      <c r="AT804" s="280"/>
    </row>
    <row r="805" ht="14.2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78"/>
      <c r="U805" s="278"/>
      <c r="V805" s="279"/>
      <c r="W805" s="279"/>
      <c r="X805" s="279"/>
      <c r="Y805" s="279"/>
      <c r="Z805" s="279"/>
      <c r="AA805" s="279"/>
      <c r="AB805" s="279"/>
      <c r="AC805" s="279"/>
      <c r="AD805" s="279"/>
      <c r="AE805" s="279"/>
      <c r="AF805" s="279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80"/>
      <c r="AR805" s="280"/>
      <c r="AS805" s="280"/>
      <c r="AT805" s="280"/>
    </row>
    <row r="806" ht="14.2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78"/>
      <c r="U806" s="278"/>
      <c r="V806" s="279"/>
      <c r="W806" s="279"/>
      <c r="X806" s="279"/>
      <c r="Y806" s="279"/>
      <c r="Z806" s="279"/>
      <c r="AA806" s="279"/>
      <c r="AB806" s="279"/>
      <c r="AC806" s="279"/>
      <c r="AD806" s="279"/>
      <c r="AE806" s="279"/>
      <c r="AF806" s="279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80"/>
      <c r="AR806" s="280"/>
      <c r="AS806" s="280"/>
      <c r="AT806" s="280"/>
    </row>
    <row r="807" ht="14.2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78"/>
      <c r="U807" s="278"/>
      <c r="V807" s="279"/>
      <c r="W807" s="279"/>
      <c r="X807" s="279"/>
      <c r="Y807" s="279"/>
      <c r="Z807" s="279"/>
      <c r="AA807" s="279"/>
      <c r="AB807" s="279"/>
      <c r="AC807" s="279"/>
      <c r="AD807" s="279"/>
      <c r="AE807" s="279"/>
      <c r="AF807" s="279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80"/>
      <c r="AR807" s="280"/>
      <c r="AS807" s="280"/>
      <c r="AT807" s="280"/>
    </row>
    <row r="808" ht="14.2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78"/>
      <c r="U808" s="278"/>
      <c r="V808" s="279"/>
      <c r="W808" s="279"/>
      <c r="X808" s="279"/>
      <c r="Y808" s="279"/>
      <c r="Z808" s="279"/>
      <c r="AA808" s="279"/>
      <c r="AB808" s="279"/>
      <c r="AC808" s="279"/>
      <c r="AD808" s="279"/>
      <c r="AE808" s="279"/>
      <c r="AF808" s="279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80"/>
      <c r="AR808" s="280"/>
      <c r="AS808" s="280"/>
      <c r="AT808" s="280"/>
    </row>
    <row r="809" ht="14.2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78"/>
      <c r="U809" s="278"/>
      <c r="V809" s="279"/>
      <c r="W809" s="279"/>
      <c r="X809" s="279"/>
      <c r="Y809" s="279"/>
      <c r="Z809" s="279"/>
      <c r="AA809" s="279"/>
      <c r="AB809" s="279"/>
      <c r="AC809" s="279"/>
      <c r="AD809" s="279"/>
      <c r="AE809" s="279"/>
      <c r="AF809" s="279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80"/>
      <c r="AR809" s="280"/>
      <c r="AS809" s="280"/>
      <c r="AT809" s="280"/>
    </row>
    <row r="810" ht="14.2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78"/>
      <c r="U810" s="278"/>
      <c r="V810" s="279"/>
      <c r="W810" s="279"/>
      <c r="X810" s="279"/>
      <c r="Y810" s="279"/>
      <c r="Z810" s="279"/>
      <c r="AA810" s="279"/>
      <c r="AB810" s="279"/>
      <c r="AC810" s="279"/>
      <c r="AD810" s="279"/>
      <c r="AE810" s="279"/>
      <c r="AF810" s="279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80"/>
      <c r="AR810" s="280"/>
      <c r="AS810" s="280"/>
      <c r="AT810" s="280"/>
    </row>
    <row r="811" ht="14.2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78"/>
      <c r="U811" s="278"/>
      <c r="V811" s="279"/>
      <c r="W811" s="279"/>
      <c r="X811" s="279"/>
      <c r="Y811" s="279"/>
      <c r="Z811" s="279"/>
      <c r="AA811" s="279"/>
      <c r="AB811" s="279"/>
      <c r="AC811" s="279"/>
      <c r="AD811" s="279"/>
      <c r="AE811" s="279"/>
      <c r="AF811" s="279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80"/>
      <c r="AR811" s="280"/>
      <c r="AS811" s="280"/>
      <c r="AT811" s="280"/>
    </row>
    <row r="812" ht="14.2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78"/>
      <c r="U812" s="278"/>
      <c r="V812" s="279"/>
      <c r="W812" s="279"/>
      <c r="X812" s="279"/>
      <c r="Y812" s="279"/>
      <c r="Z812" s="279"/>
      <c r="AA812" s="279"/>
      <c r="AB812" s="279"/>
      <c r="AC812" s="279"/>
      <c r="AD812" s="279"/>
      <c r="AE812" s="279"/>
      <c r="AF812" s="279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80"/>
      <c r="AR812" s="280"/>
      <c r="AS812" s="280"/>
      <c r="AT812" s="280"/>
    </row>
    <row r="813" ht="14.2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78"/>
      <c r="U813" s="278"/>
      <c r="V813" s="279"/>
      <c r="W813" s="279"/>
      <c r="X813" s="279"/>
      <c r="Y813" s="279"/>
      <c r="Z813" s="279"/>
      <c r="AA813" s="279"/>
      <c r="AB813" s="279"/>
      <c r="AC813" s="279"/>
      <c r="AD813" s="279"/>
      <c r="AE813" s="279"/>
      <c r="AF813" s="279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80"/>
      <c r="AR813" s="280"/>
      <c r="AS813" s="280"/>
      <c r="AT813" s="280"/>
    </row>
    <row r="814" ht="14.2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78"/>
      <c r="U814" s="278"/>
      <c r="V814" s="279"/>
      <c r="W814" s="279"/>
      <c r="X814" s="279"/>
      <c r="Y814" s="279"/>
      <c r="Z814" s="279"/>
      <c r="AA814" s="279"/>
      <c r="AB814" s="279"/>
      <c r="AC814" s="279"/>
      <c r="AD814" s="279"/>
      <c r="AE814" s="279"/>
      <c r="AF814" s="279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80"/>
      <c r="AR814" s="280"/>
      <c r="AS814" s="280"/>
      <c r="AT814" s="280"/>
    </row>
    <row r="815" ht="14.2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78"/>
      <c r="U815" s="278"/>
      <c r="V815" s="279"/>
      <c r="W815" s="279"/>
      <c r="X815" s="279"/>
      <c r="Y815" s="279"/>
      <c r="Z815" s="279"/>
      <c r="AA815" s="279"/>
      <c r="AB815" s="279"/>
      <c r="AC815" s="279"/>
      <c r="AD815" s="279"/>
      <c r="AE815" s="279"/>
      <c r="AF815" s="279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80"/>
      <c r="AR815" s="280"/>
      <c r="AS815" s="280"/>
      <c r="AT815" s="280"/>
    </row>
    <row r="816" ht="14.2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78"/>
      <c r="U816" s="278"/>
      <c r="V816" s="279"/>
      <c r="W816" s="279"/>
      <c r="X816" s="279"/>
      <c r="Y816" s="279"/>
      <c r="Z816" s="279"/>
      <c r="AA816" s="279"/>
      <c r="AB816" s="279"/>
      <c r="AC816" s="279"/>
      <c r="AD816" s="279"/>
      <c r="AE816" s="279"/>
      <c r="AF816" s="279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80"/>
      <c r="AR816" s="280"/>
      <c r="AS816" s="280"/>
      <c r="AT816" s="280"/>
    </row>
    <row r="817" ht="14.2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78"/>
      <c r="U817" s="278"/>
      <c r="V817" s="279"/>
      <c r="W817" s="279"/>
      <c r="X817" s="279"/>
      <c r="Y817" s="279"/>
      <c r="Z817" s="279"/>
      <c r="AA817" s="279"/>
      <c r="AB817" s="279"/>
      <c r="AC817" s="279"/>
      <c r="AD817" s="279"/>
      <c r="AE817" s="279"/>
      <c r="AF817" s="279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80"/>
      <c r="AR817" s="280"/>
      <c r="AS817" s="280"/>
      <c r="AT817" s="280"/>
    </row>
    <row r="818" ht="14.2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78"/>
      <c r="U818" s="278"/>
      <c r="V818" s="279"/>
      <c r="W818" s="279"/>
      <c r="X818" s="279"/>
      <c r="Y818" s="279"/>
      <c r="Z818" s="279"/>
      <c r="AA818" s="279"/>
      <c r="AB818" s="279"/>
      <c r="AC818" s="279"/>
      <c r="AD818" s="279"/>
      <c r="AE818" s="279"/>
      <c r="AF818" s="279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80"/>
      <c r="AR818" s="280"/>
      <c r="AS818" s="280"/>
      <c r="AT818" s="280"/>
    </row>
    <row r="819" ht="14.2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78"/>
      <c r="U819" s="278"/>
      <c r="V819" s="279"/>
      <c r="W819" s="279"/>
      <c r="X819" s="279"/>
      <c r="Y819" s="279"/>
      <c r="Z819" s="279"/>
      <c r="AA819" s="279"/>
      <c r="AB819" s="279"/>
      <c r="AC819" s="279"/>
      <c r="AD819" s="279"/>
      <c r="AE819" s="279"/>
      <c r="AF819" s="279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80"/>
      <c r="AR819" s="280"/>
      <c r="AS819" s="280"/>
      <c r="AT819" s="280"/>
    </row>
    <row r="820" ht="14.2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78"/>
      <c r="U820" s="278"/>
      <c r="V820" s="279"/>
      <c r="W820" s="279"/>
      <c r="X820" s="279"/>
      <c r="Y820" s="279"/>
      <c r="Z820" s="279"/>
      <c r="AA820" s="279"/>
      <c r="AB820" s="279"/>
      <c r="AC820" s="279"/>
      <c r="AD820" s="279"/>
      <c r="AE820" s="279"/>
      <c r="AF820" s="279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80"/>
      <c r="AR820" s="280"/>
      <c r="AS820" s="280"/>
      <c r="AT820" s="280"/>
    </row>
    <row r="821" ht="14.2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78"/>
      <c r="U821" s="278"/>
      <c r="V821" s="279"/>
      <c r="W821" s="279"/>
      <c r="X821" s="279"/>
      <c r="Y821" s="279"/>
      <c r="Z821" s="279"/>
      <c r="AA821" s="279"/>
      <c r="AB821" s="279"/>
      <c r="AC821" s="279"/>
      <c r="AD821" s="279"/>
      <c r="AE821" s="279"/>
      <c r="AF821" s="279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80"/>
      <c r="AR821" s="280"/>
      <c r="AS821" s="280"/>
      <c r="AT821" s="280"/>
    </row>
    <row r="822" ht="14.2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78"/>
      <c r="U822" s="278"/>
      <c r="V822" s="279"/>
      <c r="W822" s="279"/>
      <c r="X822" s="279"/>
      <c r="Y822" s="279"/>
      <c r="Z822" s="279"/>
      <c r="AA822" s="279"/>
      <c r="AB822" s="279"/>
      <c r="AC822" s="279"/>
      <c r="AD822" s="279"/>
      <c r="AE822" s="279"/>
      <c r="AF822" s="279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80"/>
      <c r="AR822" s="280"/>
      <c r="AS822" s="280"/>
      <c r="AT822" s="280"/>
    </row>
    <row r="823" ht="14.2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78"/>
      <c r="U823" s="278"/>
      <c r="V823" s="279"/>
      <c r="W823" s="279"/>
      <c r="X823" s="279"/>
      <c r="Y823" s="279"/>
      <c r="Z823" s="279"/>
      <c r="AA823" s="279"/>
      <c r="AB823" s="279"/>
      <c r="AC823" s="279"/>
      <c r="AD823" s="279"/>
      <c r="AE823" s="279"/>
      <c r="AF823" s="279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80"/>
      <c r="AR823" s="280"/>
      <c r="AS823" s="280"/>
      <c r="AT823" s="280"/>
    </row>
    <row r="824" ht="14.2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78"/>
      <c r="U824" s="278"/>
      <c r="V824" s="279"/>
      <c r="W824" s="279"/>
      <c r="X824" s="279"/>
      <c r="Y824" s="279"/>
      <c r="Z824" s="279"/>
      <c r="AA824" s="279"/>
      <c r="AB824" s="279"/>
      <c r="AC824" s="279"/>
      <c r="AD824" s="279"/>
      <c r="AE824" s="279"/>
      <c r="AF824" s="279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80"/>
      <c r="AR824" s="280"/>
      <c r="AS824" s="280"/>
      <c r="AT824" s="280"/>
    </row>
    <row r="825" ht="14.2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78"/>
      <c r="U825" s="278"/>
      <c r="V825" s="279"/>
      <c r="W825" s="279"/>
      <c r="X825" s="279"/>
      <c r="Y825" s="279"/>
      <c r="Z825" s="279"/>
      <c r="AA825" s="279"/>
      <c r="AB825" s="279"/>
      <c r="AC825" s="279"/>
      <c r="AD825" s="279"/>
      <c r="AE825" s="279"/>
      <c r="AF825" s="279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80"/>
      <c r="AR825" s="280"/>
      <c r="AS825" s="280"/>
      <c r="AT825" s="280"/>
    </row>
    <row r="826" ht="14.2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78"/>
      <c r="U826" s="278"/>
      <c r="V826" s="279"/>
      <c r="W826" s="279"/>
      <c r="X826" s="279"/>
      <c r="Y826" s="279"/>
      <c r="Z826" s="279"/>
      <c r="AA826" s="279"/>
      <c r="AB826" s="279"/>
      <c r="AC826" s="279"/>
      <c r="AD826" s="279"/>
      <c r="AE826" s="279"/>
      <c r="AF826" s="279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80"/>
      <c r="AR826" s="280"/>
      <c r="AS826" s="280"/>
      <c r="AT826" s="280"/>
    </row>
    <row r="827" ht="14.2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78"/>
      <c r="U827" s="278"/>
      <c r="V827" s="279"/>
      <c r="W827" s="279"/>
      <c r="X827" s="279"/>
      <c r="Y827" s="279"/>
      <c r="Z827" s="279"/>
      <c r="AA827" s="279"/>
      <c r="AB827" s="279"/>
      <c r="AC827" s="279"/>
      <c r="AD827" s="279"/>
      <c r="AE827" s="279"/>
      <c r="AF827" s="279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80"/>
      <c r="AR827" s="280"/>
      <c r="AS827" s="280"/>
      <c r="AT827" s="280"/>
    </row>
    <row r="828" ht="14.2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78"/>
      <c r="U828" s="278"/>
      <c r="V828" s="279"/>
      <c r="W828" s="279"/>
      <c r="X828" s="279"/>
      <c r="Y828" s="279"/>
      <c r="Z828" s="279"/>
      <c r="AA828" s="279"/>
      <c r="AB828" s="279"/>
      <c r="AC828" s="279"/>
      <c r="AD828" s="279"/>
      <c r="AE828" s="279"/>
      <c r="AF828" s="279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80"/>
      <c r="AR828" s="280"/>
      <c r="AS828" s="280"/>
      <c r="AT828" s="280"/>
    </row>
    <row r="829" ht="14.2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78"/>
      <c r="U829" s="278"/>
      <c r="V829" s="279"/>
      <c r="W829" s="279"/>
      <c r="X829" s="279"/>
      <c r="Y829" s="279"/>
      <c r="Z829" s="279"/>
      <c r="AA829" s="279"/>
      <c r="AB829" s="279"/>
      <c r="AC829" s="279"/>
      <c r="AD829" s="279"/>
      <c r="AE829" s="279"/>
      <c r="AF829" s="279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80"/>
      <c r="AR829" s="280"/>
      <c r="AS829" s="280"/>
      <c r="AT829" s="280"/>
    </row>
    <row r="830" ht="14.2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78"/>
      <c r="U830" s="278"/>
      <c r="V830" s="279"/>
      <c r="W830" s="279"/>
      <c r="X830" s="279"/>
      <c r="Y830" s="279"/>
      <c r="Z830" s="279"/>
      <c r="AA830" s="279"/>
      <c r="AB830" s="279"/>
      <c r="AC830" s="279"/>
      <c r="AD830" s="279"/>
      <c r="AE830" s="279"/>
      <c r="AF830" s="279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80"/>
      <c r="AR830" s="280"/>
      <c r="AS830" s="280"/>
      <c r="AT830" s="280"/>
    </row>
    <row r="831" ht="14.2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78"/>
      <c r="U831" s="278"/>
      <c r="V831" s="279"/>
      <c r="W831" s="279"/>
      <c r="X831" s="279"/>
      <c r="Y831" s="279"/>
      <c r="Z831" s="279"/>
      <c r="AA831" s="279"/>
      <c r="AB831" s="279"/>
      <c r="AC831" s="279"/>
      <c r="AD831" s="279"/>
      <c r="AE831" s="279"/>
      <c r="AF831" s="279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80"/>
      <c r="AR831" s="280"/>
      <c r="AS831" s="280"/>
      <c r="AT831" s="280"/>
    </row>
    <row r="832" ht="14.2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78"/>
      <c r="U832" s="278"/>
      <c r="V832" s="279"/>
      <c r="W832" s="279"/>
      <c r="X832" s="279"/>
      <c r="Y832" s="279"/>
      <c r="Z832" s="279"/>
      <c r="AA832" s="279"/>
      <c r="AB832" s="279"/>
      <c r="AC832" s="279"/>
      <c r="AD832" s="279"/>
      <c r="AE832" s="279"/>
      <c r="AF832" s="279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80"/>
      <c r="AR832" s="280"/>
      <c r="AS832" s="280"/>
      <c r="AT832" s="280"/>
    </row>
    <row r="833" ht="14.2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78"/>
      <c r="U833" s="278"/>
      <c r="V833" s="279"/>
      <c r="W833" s="279"/>
      <c r="X833" s="279"/>
      <c r="Y833" s="279"/>
      <c r="Z833" s="279"/>
      <c r="AA833" s="279"/>
      <c r="AB833" s="279"/>
      <c r="AC833" s="279"/>
      <c r="AD833" s="279"/>
      <c r="AE833" s="279"/>
      <c r="AF833" s="279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80"/>
      <c r="AR833" s="280"/>
      <c r="AS833" s="280"/>
      <c r="AT833" s="280"/>
    </row>
    <row r="834" ht="14.2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78"/>
      <c r="U834" s="278"/>
      <c r="V834" s="279"/>
      <c r="W834" s="279"/>
      <c r="X834" s="279"/>
      <c r="Y834" s="279"/>
      <c r="Z834" s="279"/>
      <c r="AA834" s="279"/>
      <c r="AB834" s="279"/>
      <c r="AC834" s="279"/>
      <c r="AD834" s="279"/>
      <c r="AE834" s="279"/>
      <c r="AF834" s="279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80"/>
      <c r="AR834" s="280"/>
      <c r="AS834" s="280"/>
      <c r="AT834" s="280"/>
    </row>
    <row r="835" ht="14.2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78"/>
      <c r="U835" s="278"/>
      <c r="V835" s="279"/>
      <c r="W835" s="279"/>
      <c r="X835" s="279"/>
      <c r="Y835" s="279"/>
      <c r="Z835" s="279"/>
      <c r="AA835" s="279"/>
      <c r="AB835" s="279"/>
      <c r="AC835" s="279"/>
      <c r="AD835" s="279"/>
      <c r="AE835" s="279"/>
      <c r="AF835" s="279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80"/>
      <c r="AR835" s="280"/>
      <c r="AS835" s="280"/>
      <c r="AT835" s="280"/>
    </row>
    <row r="836" ht="14.2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78"/>
      <c r="U836" s="278"/>
      <c r="V836" s="279"/>
      <c r="W836" s="279"/>
      <c r="X836" s="279"/>
      <c r="Y836" s="279"/>
      <c r="Z836" s="279"/>
      <c r="AA836" s="279"/>
      <c r="AB836" s="279"/>
      <c r="AC836" s="279"/>
      <c r="AD836" s="279"/>
      <c r="AE836" s="279"/>
      <c r="AF836" s="279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80"/>
      <c r="AR836" s="280"/>
      <c r="AS836" s="280"/>
      <c r="AT836" s="280"/>
    </row>
    <row r="837" ht="14.2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78"/>
      <c r="U837" s="278"/>
      <c r="V837" s="279"/>
      <c r="W837" s="279"/>
      <c r="X837" s="279"/>
      <c r="Y837" s="279"/>
      <c r="Z837" s="279"/>
      <c r="AA837" s="279"/>
      <c r="AB837" s="279"/>
      <c r="AC837" s="279"/>
      <c r="AD837" s="279"/>
      <c r="AE837" s="279"/>
      <c r="AF837" s="279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80"/>
      <c r="AR837" s="280"/>
      <c r="AS837" s="280"/>
      <c r="AT837" s="280"/>
    </row>
    <row r="838" ht="14.2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78"/>
      <c r="U838" s="278"/>
      <c r="V838" s="279"/>
      <c r="W838" s="279"/>
      <c r="X838" s="279"/>
      <c r="Y838" s="279"/>
      <c r="Z838" s="279"/>
      <c r="AA838" s="279"/>
      <c r="AB838" s="279"/>
      <c r="AC838" s="279"/>
      <c r="AD838" s="279"/>
      <c r="AE838" s="279"/>
      <c r="AF838" s="279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80"/>
      <c r="AR838" s="280"/>
      <c r="AS838" s="280"/>
      <c r="AT838" s="280"/>
    </row>
    <row r="839" ht="14.2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78"/>
      <c r="U839" s="278"/>
      <c r="V839" s="279"/>
      <c r="W839" s="279"/>
      <c r="X839" s="279"/>
      <c r="Y839" s="279"/>
      <c r="Z839" s="279"/>
      <c r="AA839" s="279"/>
      <c r="AB839" s="279"/>
      <c r="AC839" s="279"/>
      <c r="AD839" s="279"/>
      <c r="AE839" s="279"/>
      <c r="AF839" s="279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80"/>
      <c r="AR839" s="280"/>
      <c r="AS839" s="280"/>
      <c r="AT839" s="280"/>
    </row>
    <row r="840" ht="14.2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78"/>
      <c r="U840" s="278"/>
      <c r="V840" s="279"/>
      <c r="W840" s="279"/>
      <c r="X840" s="279"/>
      <c r="Y840" s="279"/>
      <c r="Z840" s="279"/>
      <c r="AA840" s="279"/>
      <c r="AB840" s="279"/>
      <c r="AC840" s="279"/>
      <c r="AD840" s="279"/>
      <c r="AE840" s="279"/>
      <c r="AF840" s="279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80"/>
      <c r="AR840" s="280"/>
      <c r="AS840" s="280"/>
      <c r="AT840" s="280"/>
    </row>
    <row r="841" ht="14.2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78"/>
      <c r="U841" s="278"/>
      <c r="V841" s="279"/>
      <c r="W841" s="279"/>
      <c r="X841" s="279"/>
      <c r="Y841" s="279"/>
      <c r="Z841" s="279"/>
      <c r="AA841" s="279"/>
      <c r="AB841" s="279"/>
      <c r="AC841" s="279"/>
      <c r="AD841" s="279"/>
      <c r="AE841" s="279"/>
      <c r="AF841" s="279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80"/>
      <c r="AR841" s="280"/>
      <c r="AS841" s="280"/>
      <c r="AT841" s="280"/>
    </row>
    <row r="842" ht="14.2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78"/>
      <c r="U842" s="278"/>
      <c r="V842" s="279"/>
      <c r="W842" s="279"/>
      <c r="X842" s="279"/>
      <c r="Y842" s="279"/>
      <c r="Z842" s="279"/>
      <c r="AA842" s="279"/>
      <c r="AB842" s="279"/>
      <c r="AC842" s="279"/>
      <c r="AD842" s="279"/>
      <c r="AE842" s="279"/>
      <c r="AF842" s="279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80"/>
      <c r="AR842" s="280"/>
      <c r="AS842" s="280"/>
      <c r="AT842" s="280"/>
    </row>
    <row r="843" ht="14.2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78"/>
      <c r="U843" s="278"/>
      <c r="V843" s="279"/>
      <c r="W843" s="279"/>
      <c r="X843" s="279"/>
      <c r="Y843" s="279"/>
      <c r="Z843" s="279"/>
      <c r="AA843" s="279"/>
      <c r="AB843" s="279"/>
      <c r="AC843" s="279"/>
      <c r="AD843" s="279"/>
      <c r="AE843" s="279"/>
      <c r="AF843" s="279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80"/>
      <c r="AR843" s="280"/>
      <c r="AS843" s="280"/>
      <c r="AT843" s="280"/>
    </row>
    <row r="844" ht="14.2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78"/>
      <c r="U844" s="278"/>
      <c r="V844" s="279"/>
      <c r="W844" s="279"/>
      <c r="X844" s="279"/>
      <c r="Y844" s="279"/>
      <c r="Z844" s="279"/>
      <c r="AA844" s="279"/>
      <c r="AB844" s="279"/>
      <c r="AC844" s="279"/>
      <c r="AD844" s="279"/>
      <c r="AE844" s="279"/>
      <c r="AF844" s="279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80"/>
      <c r="AR844" s="280"/>
      <c r="AS844" s="280"/>
      <c r="AT844" s="280"/>
    </row>
    <row r="845" ht="14.2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78"/>
      <c r="U845" s="278"/>
      <c r="V845" s="279"/>
      <c r="W845" s="279"/>
      <c r="X845" s="279"/>
      <c r="Y845" s="279"/>
      <c r="Z845" s="279"/>
      <c r="AA845" s="279"/>
      <c r="AB845" s="279"/>
      <c r="AC845" s="279"/>
      <c r="AD845" s="279"/>
      <c r="AE845" s="279"/>
      <c r="AF845" s="279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80"/>
      <c r="AR845" s="280"/>
      <c r="AS845" s="280"/>
      <c r="AT845" s="280"/>
    </row>
    <row r="846" ht="14.2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78"/>
      <c r="U846" s="278"/>
      <c r="V846" s="279"/>
      <c r="W846" s="279"/>
      <c r="X846" s="279"/>
      <c r="Y846" s="279"/>
      <c r="Z846" s="279"/>
      <c r="AA846" s="279"/>
      <c r="AB846" s="279"/>
      <c r="AC846" s="279"/>
      <c r="AD846" s="279"/>
      <c r="AE846" s="279"/>
      <c r="AF846" s="279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80"/>
      <c r="AR846" s="280"/>
      <c r="AS846" s="280"/>
      <c r="AT846" s="280"/>
    </row>
    <row r="847" ht="14.2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78"/>
      <c r="U847" s="278"/>
      <c r="V847" s="279"/>
      <c r="W847" s="279"/>
      <c r="X847" s="279"/>
      <c r="Y847" s="279"/>
      <c r="Z847" s="279"/>
      <c r="AA847" s="279"/>
      <c r="AB847" s="279"/>
      <c r="AC847" s="279"/>
      <c r="AD847" s="279"/>
      <c r="AE847" s="279"/>
      <c r="AF847" s="279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80"/>
      <c r="AR847" s="280"/>
      <c r="AS847" s="280"/>
      <c r="AT847" s="280"/>
    </row>
    <row r="848" ht="14.2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78"/>
      <c r="U848" s="278"/>
      <c r="V848" s="279"/>
      <c r="W848" s="279"/>
      <c r="X848" s="279"/>
      <c r="Y848" s="279"/>
      <c r="Z848" s="279"/>
      <c r="AA848" s="279"/>
      <c r="AB848" s="279"/>
      <c r="AC848" s="279"/>
      <c r="AD848" s="279"/>
      <c r="AE848" s="279"/>
      <c r="AF848" s="279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80"/>
      <c r="AR848" s="280"/>
      <c r="AS848" s="280"/>
      <c r="AT848" s="280"/>
    </row>
    <row r="849" ht="14.2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78"/>
      <c r="U849" s="278"/>
      <c r="V849" s="279"/>
      <c r="W849" s="279"/>
      <c r="X849" s="279"/>
      <c r="Y849" s="279"/>
      <c r="Z849" s="279"/>
      <c r="AA849" s="279"/>
      <c r="AB849" s="279"/>
      <c r="AC849" s="279"/>
      <c r="AD849" s="279"/>
      <c r="AE849" s="279"/>
      <c r="AF849" s="279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80"/>
      <c r="AR849" s="280"/>
      <c r="AS849" s="280"/>
      <c r="AT849" s="280"/>
    </row>
    <row r="850" ht="14.2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78"/>
      <c r="U850" s="278"/>
      <c r="V850" s="279"/>
      <c r="W850" s="279"/>
      <c r="X850" s="279"/>
      <c r="Y850" s="279"/>
      <c r="Z850" s="279"/>
      <c r="AA850" s="279"/>
      <c r="AB850" s="279"/>
      <c r="AC850" s="279"/>
      <c r="AD850" s="279"/>
      <c r="AE850" s="279"/>
      <c r="AF850" s="279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80"/>
      <c r="AR850" s="280"/>
      <c r="AS850" s="280"/>
      <c r="AT850" s="280"/>
    </row>
    <row r="851" ht="14.2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78"/>
      <c r="U851" s="278"/>
      <c r="V851" s="279"/>
      <c r="W851" s="279"/>
      <c r="X851" s="279"/>
      <c r="Y851" s="279"/>
      <c r="Z851" s="279"/>
      <c r="AA851" s="279"/>
      <c r="AB851" s="279"/>
      <c r="AC851" s="279"/>
      <c r="AD851" s="279"/>
      <c r="AE851" s="279"/>
      <c r="AF851" s="279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80"/>
      <c r="AR851" s="280"/>
      <c r="AS851" s="280"/>
      <c r="AT851" s="280"/>
    </row>
    <row r="852" ht="14.2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78"/>
      <c r="U852" s="278"/>
      <c r="V852" s="279"/>
      <c r="W852" s="279"/>
      <c r="X852" s="279"/>
      <c r="Y852" s="279"/>
      <c r="Z852" s="279"/>
      <c r="AA852" s="279"/>
      <c r="AB852" s="279"/>
      <c r="AC852" s="279"/>
      <c r="AD852" s="279"/>
      <c r="AE852" s="279"/>
      <c r="AF852" s="279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80"/>
      <c r="AR852" s="280"/>
      <c r="AS852" s="280"/>
      <c r="AT852" s="280"/>
    </row>
    <row r="853" ht="14.2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78"/>
      <c r="U853" s="278"/>
      <c r="V853" s="279"/>
      <c r="W853" s="279"/>
      <c r="X853" s="279"/>
      <c r="Y853" s="279"/>
      <c r="Z853" s="279"/>
      <c r="AA853" s="279"/>
      <c r="AB853" s="279"/>
      <c r="AC853" s="279"/>
      <c r="AD853" s="279"/>
      <c r="AE853" s="279"/>
      <c r="AF853" s="279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80"/>
      <c r="AR853" s="280"/>
      <c r="AS853" s="280"/>
      <c r="AT853" s="280"/>
    </row>
    <row r="854" ht="14.2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78"/>
      <c r="U854" s="278"/>
      <c r="V854" s="279"/>
      <c r="W854" s="279"/>
      <c r="X854" s="279"/>
      <c r="Y854" s="279"/>
      <c r="Z854" s="279"/>
      <c r="AA854" s="279"/>
      <c r="AB854" s="279"/>
      <c r="AC854" s="279"/>
      <c r="AD854" s="279"/>
      <c r="AE854" s="279"/>
      <c r="AF854" s="279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80"/>
      <c r="AR854" s="280"/>
      <c r="AS854" s="280"/>
      <c r="AT854" s="280"/>
    </row>
    <row r="855" ht="14.2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78"/>
      <c r="U855" s="278"/>
      <c r="V855" s="279"/>
      <c r="W855" s="279"/>
      <c r="X855" s="279"/>
      <c r="Y855" s="279"/>
      <c r="Z855" s="279"/>
      <c r="AA855" s="279"/>
      <c r="AB855" s="279"/>
      <c r="AC855" s="279"/>
      <c r="AD855" s="279"/>
      <c r="AE855" s="279"/>
      <c r="AF855" s="279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80"/>
      <c r="AR855" s="280"/>
      <c r="AS855" s="280"/>
      <c r="AT855" s="280"/>
    </row>
    <row r="856" ht="14.2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78"/>
      <c r="U856" s="278"/>
      <c r="V856" s="279"/>
      <c r="W856" s="279"/>
      <c r="X856" s="279"/>
      <c r="Y856" s="279"/>
      <c r="Z856" s="279"/>
      <c r="AA856" s="279"/>
      <c r="AB856" s="279"/>
      <c r="AC856" s="279"/>
      <c r="AD856" s="279"/>
      <c r="AE856" s="279"/>
      <c r="AF856" s="279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80"/>
      <c r="AR856" s="280"/>
      <c r="AS856" s="280"/>
      <c r="AT856" s="280"/>
    </row>
    <row r="857" ht="14.2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78"/>
      <c r="U857" s="278"/>
      <c r="V857" s="279"/>
      <c r="W857" s="279"/>
      <c r="X857" s="279"/>
      <c r="Y857" s="279"/>
      <c r="Z857" s="279"/>
      <c r="AA857" s="279"/>
      <c r="AB857" s="279"/>
      <c r="AC857" s="279"/>
      <c r="AD857" s="279"/>
      <c r="AE857" s="279"/>
      <c r="AF857" s="279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80"/>
      <c r="AR857" s="280"/>
      <c r="AS857" s="280"/>
      <c r="AT857" s="280"/>
    </row>
    <row r="858" ht="14.2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78"/>
      <c r="U858" s="278"/>
      <c r="V858" s="279"/>
      <c r="W858" s="279"/>
      <c r="X858" s="279"/>
      <c r="Y858" s="279"/>
      <c r="Z858" s="279"/>
      <c r="AA858" s="279"/>
      <c r="AB858" s="279"/>
      <c r="AC858" s="279"/>
      <c r="AD858" s="279"/>
      <c r="AE858" s="279"/>
      <c r="AF858" s="279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80"/>
      <c r="AR858" s="280"/>
      <c r="AS858" s="280"/>
      <c r="AT858" s="280"/>
    </row>
    <row r="859" ht="14.2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78"/>
      <c r="U859" s="278"/>
      <c r="V859" s="279"/>
      <c r="W859" s="279"/>
      <c r="X859" s="279"/>
      <c r="Y859" s="279"/>
      <c r="Z859" s="279"/>
      <c r="AA859" s="279"/>
      <c r="AB859" s="279"/>
      <c r="AC859" s="279"/>
      <c r="AD859" s="279"/>
      <c r="AE859" s="279"/>
      <c r="AF859" s="279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80"/>
      <c r="AR859" s="280"/>
      <c r="AS859" s="280"/>
      <c r="AT859" s="280"/>
    </row>
    <row r="860" ht="14.2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78"/>
      <c r="U860" s="278"/>
      <c r="V860" s="279"/>
      <c r="W860" s="279"/>
      <c r="X860" s="279"/>
      <c r="Y860" s="279"/>
      <c r="Z860" s="279"/>
      <c r="AA860" s="279"/>
      <c r="AB860" s="279"/>
      <c r="AC860" s="279"/>
      <c r="AD860" s="279"/>
      <c r="AE860" s="279"/>
      <c r="AF860" s="279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80"/>
      <c r="AR860" s="280"/>
      <c r="AS860" s="280"/>
      <c r="AT860" s="280"/>
    </row>
    <row r="861" ht="14.2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78"/>
      <c r="U861" s="278"/>
      <c r="V861" s="279"/>
      <c r="W861" s="279"/>
      <c r="X861" s="279"/>
      <c r="Y861" s="279"/>
      <c r="Z861" s="279"/>
      <c r="AA861" s="279"/>
      <c r="AB861" s="279"/>
      <c r="AC861" s="279"/>
      <c r="AD861" s="279"/>
      <c r="AE861" s="279"/>
      <c r="AF861" s="279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80"/>
      <c r="AR861" s="280"/>
      <c r="AS861" s="280"/>
      <c r="AT861" s="280"/>
    </row>
    <row r="862" ht="14.2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78"/>
      <c r="U862" s="278"/>
      <c r="V862" s="279"/>
      <c r="W862" s="279"/>
      <c r="X862" s="279"/>
      <c r="Y862" s="279"/>
      <c r="Z862" s="279"/>
      <c r="AA862" s="279"/>
      <c r="AB862" s="279"/>
      <c r="AC862" s="279"/>
      <c r="AD862" s="279"/>
      <c r="AE862" s="279"/>
      <c r="AF862" s="279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80"/>
      <c r="AR862" s="280"/>
      <c r="AS862" s="280"/>
      <c r="AT862" s="280"/>
    </row>
    <row r="863" ht="14.2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78"/>
      <c r="U863" s="278"/>
      <c r="V863" s="279"/>
      <c r="W863" s="279"/>
      <c r="X863" s="279"/>
      <c r="Y863" s="279"/>
      <c r="Z863" s="279"/>
      <c r="AA863" s="279"/>
      <c r="AB863" s="279"/>
      <c r="AC863" s="279"/>
      <c r="AD863" s="279"/>
      <c r="AE863" s="279"/>
      <c r="AF863" s="279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80"/>
      <c r="AR863" s="280"/>
      <c r="AS863" s="280"/>
      <c r="AT863" s="280"/>
    </row>
    <row r="864" ht="14.2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78"/>
      <c r="U864" s="278"/>
      <c r="V864" s="279"/>
      <c r="W864" s="279"/>
      <c r="X864" s="279"/>
      <c r="Y864" s="279"/>
      <c r="Z864" s="279"/>
      <c r="AA864" s="279"/>
      <c r="AB864" s="279"/>
      <c r="AC864" s="279"/>
      <c r="AD864" s="279"/>
      <c r="AE864" s="279"/>
      <c r="AF864" s="279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80"/>
      <c r="AR864" s="280"/>
      <c r="AS864" s="280"/>
      <c r="AT864" s="280"/>
    </row>
    <row r="865" ht="14.2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78"/>
      <c r="U865" s="278"/>
      <c r="V865" s="279"/>
      <c r="W865" s="279"/>
      <c r="X865" s="279"/>
      <c r="Y865" s="279"/>
      <c r="Z865" s="279"/>
      <c r="AA865" s="279"/>
      <c r="AB865" s="279"/>
      <c r="AC865" s="279"/>
      <c r="AD865" s="279"/>
      <c r="AE865" s="279"/>
      <c r="AF865" s="279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80"/>
      <c r="AR865" s="280"/>
      <c r="AS865" s="280"/>
      <c r="AT865" s="280"/>
    </row>
    <row r="866" ht="14.2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78"/>
      <c r="U866" s="278"/>
      <c r="V866" s="279"/>
      <c r="W866" s="279"/>
      <c r="X866" s="279"/>
      <c r="Y866" s="279"/>
      <c r="Z866" s="279"/>
      <c r="AA866" s="279"/>
      <c r="AB866" s="279"/>
      <c r="AC866" s="279"/>
      <c r="AD866" s="279"/>
      <c r="AE866" s="279"/>
      <c r="AF866" s="279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80"/>
      <c r="AR866" s="280"/>
      <c r="AS866" s="280"/>
      <c r="AT866" s="280"/>
    </row>
    <row r="867" ht="14.2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78"/>
      <c r="U867" s="278"/>
      <c r="V867" s="279"/>
      <c r="W867" s="279"/>
      <c r="X867" s="279"/>
      <c r="Y867" s="279"/>
      <c r="Z867" s="279"/>
      <c r="AA867" s="279"/>
      <c r="AB867" s="279"/>
      <c r="AC867" s="279"/>
      <c r="AD867" s="279"/>
      <c r="AE867" s="279"/>
      <c r="AF867" s="279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80"/>
      <c r="AR867" s="280"/>
      <c r="AS867" s="280"/>
      <c r="AT867" s="280"/>
    </row>
    <row r="868" ht="14.2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78"/>
      <c r="U868" s="278"/>
      <c r="V868" s="279"/>
      <c r="W868" s="279"/>
      <c r="X868" s="279"/>
      <c r="Y868" s="279"/>
      <c r="Z868" s="279"/>
      <c r="AA868" s="279"/>
      <c r="AB868" s="279"/>
      <c r="AC868" s="279"/>
      <c r="AD868" s="279"/>
      <c r="AE868" s="279"/>
      <c r="AF868" s="279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80"/>
      <c r="AR868" s="280"/>
      <c r="AS868" s="280"/>
      <c r="AT868" s="280"/>
    </row>
    <row r="869" ht="14.2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78"/>
      <c r="U869" s="278"/>
      <c r="V869" s="279"/>
      <c r="W869" s="279"/>
      <c r="X869" s="279"/>
      <c r="Y869" s="279"/>
      <c r="Z869" s="279"/>
      <c r="AA869" s="279"/>
      <c r="AB869" s="279"/>
      <c r="AC869" s="279"/>
      <c r="AD869" s="279"/>
      <c r="AE869" s="279"/>
      <c r="AF869" s="279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80"/>
      <c r="AR869" s="280"/>
      <c r="AS869" s="280"/>
      <c r="AT869" s="280"/>
    </row>
    <row r="870" ht="14.2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78"/>
      <c r="U870" s="278"/>
      <c r="V870" s="279"/>
      <c r="W870" s="279"/>
      <c r="X870" s="279"/>
      <c r="Y870" s="279"/>
      <c r="Z870" s="279"/>
      <c r="AA870" s="279"/>
      <c r="AB870" s="279"/>
      <c r="AC870" s="279"/>
      <c r="AD870" s="279"/>
      <c r="AE870" s="279"/>
      <c r="AF870" s="279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80"/>
      <c r="AR870" s="280"/>
      <c r="AS870" s="280"/>
      <c r="AT870" s="280"/>
    </row>
    <row r="871" ht="14.2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78"/>
      <c r="U871" s="278"/>
      <c r="V871" s="279"/>
      <c r="W871" s="279"/>
      <c r="X871" s="279"/>
      <c r="Y871" s="279"/>
      <c r="Z871" s="279"/>
      <c r="AA871" s="279"/>
      <c r="AB871" s="279"/>
      <c r="AC871" s="279"/>
      <c r="AD871" s="279"/>
      <c r="AE871" s="279"/>
      <c r="AF871" s="279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80"/>
      <c r="AR871" s="280"/>
      <c r="AS871" s="280"/>
      <c r="AT871" s="280"/>
    </row>
    <row r="872" ht="14.2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78"/>
      <c r="U872" s="278"/>
      <c r="V872" s="279"/>
      <c r="W872" s="279"/>
      <c r="X872" s="279"/>
      <c r="Y872" s="279"/>
      <c r="Z872" s="279"/>
      <c r="AA872" s="279"/>
      <c r="AB872" s="279"/>
      <c r="AC872" s="279"/>
      <c r="AD872" s="279"/>
      <c r="AE872" s="279"/>
      <c r="AF872" s="279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80"/>
      <c r="AR872" s="280"/>
      <c r="AS872" s="280"/>
      <c r="AT872" s="280"/>
    </row>
    <row r="873" ht="14.2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78"/>
      <c r="U873" s="278"/>
      <c r="V873" s="279"/>
      <c r="W873" s="279"/>
      <c r="X873" s="279"/>
      <c r="Y873" s="279"/>
      <c r="Z873" s="279"/>
      <c r="AA873" s="279"/>
      <c r="AB873" s="279"/>
      <c r="AC873" s="279"/>
      <c r="AD873" s="279"/>
      <c r="AE873" s="279"/>
      <c r="AF873" s="279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80"/>
      <c r="AR873" s="280"/>
      <c r="AS873" s="280"/>
      <c r="AT873" s="280"/>
    </row>
    <row r="874" ht="14.2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78"/>
      <c r="U874" s="278"/>
      <c r="V874" s="279"/>
      <c r="W874" s="279"/>
      <c r="X874" s="279"/>
      <c r="Y874" s="279"/>
      <c r="Z874" s="279"/>
      <c r="AA874" s="279"/>
      <c r="AB874" s="279"/>
      <c r="AC874" s="279"/>
      <c r="AD874" s="279"/>
      <c r="AE874" s="279"/>
      <c r="AF874" s="279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80"/>
      <c r="AR874" s="280"/>
      <c r="AS874" s="280"/>
      <c r="AT874" s="280"/>
    </row>
    <row r="875" ht="14.2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78"/>
      <c r="U875" s="278"/>
      <c r="V875" s="279"/>
      <c r="W875" s="279"/>
      <c r="X875" s="279"/>
      <c r="Y875" s="279"/>
      <c r="Z875" s="279"/>
      <c r="AA875" s="279"/>
      <c r="AB875" s="279"/>
      <c r="AC875" s="279"/>
      <c r="AD875" s="279"/>
      <c r="AE875" s="279"/>
      <c r="AF875" s="279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80"/>
      <c r="AR875" s="280"/>
      <c r="AS875" s="280"/>
      <c r="AT875" s="280"/>
    </row>
    <row r="876" ht="14.2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78"/>
      <c r="U876" s="278"/>
      <c r="V876" s="279"/>
      <c r="W876" s="279"/>
      <c r="X876" s="279"/>
      <c r="Y876" s="279"/>
      <c r="Z876" s="279"/>
      <c r="AA876" s="279"/>
      <c r="AB876" s="279"/>
      <c r="AC876" s="279"/>
      <c r="AD876" s="279"/>
      <c r="AE876" s="279"/>
      <c r="AF876" s="279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80"/>
      <c r="AR876" s="280"/>
      <c r="AS876" s="280"/>
      <c r="AT876" s="280"/>
    </row>
    <row r="877" ht="14.2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78"/>
      <c r="U877" s="278"/>
      <c r="V877" s="279"/>
      <c r="W877" s="279"/>
      <c r="X877" s="279"/>
      <c r="Y877" s="279"/>
      <c r="Z877" s="279"/>
      <c r="AA877" s="279"/>
      <c r="AB877" s="279"/>
      <c r="AC877" s="279"/>
      <c r="AD877" s="279"/>
      <c r="AE877" s="279"/>
      <c r="AF877" s="279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80"/>
      <c r="AR877" s="280"/>
      <c r="AS877" s="280"/>
      <c r="AT877" s="280"/>
    </row>
    <row r="878" ht="14.2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78"/>
      <c r="U878" s="278"/>
      <c r="V878" s="279"/>
      <c r="W878" s="279"/>
      <c r="X878" s="279"/>
      <c r="Y878" s="279"/>
      <c r="Z878" s="279"/>
      <c r="AA878" s="279"/>
      <c r="AB878" s="279"/>
      <c r="AC878" s="279"/>
      <c r="AD878" s="279"/>
      <c r="AE878" s="279"/>
      <c r="AF878" s="279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80"/>
      <c r="AR878" s="280"/>
      <c r="AS878" s="280"/>
      <c r="AT878" s="280"/>
    </row>
    <row r="879" ht="14.2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78"/>
      <c r="U879" s="278"/>
      <c r="V879" s="279"/>
      <c r="W879" s="279"/>
      <c r="X879" s="279"/>
      <c r="Y879" s="279"/>
      <c r="Z879" s="279"/>
      <c r="AA879" s="279"/>
      <c r="AB879" s="279"/>
      <c r="AC879" s="279"/>
      <c r="AD879" s="279"/>
      <c r="AE879" s="279"/>
      <c r="AF879" s="279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80"/>
      <c r="AR879" s="280"/>
      <c r="AS879" s="280"/>
      <c r="AT879" s="280"/>
    </row>
    <row r="880" ht="14.2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78"/>
      <c r="U880" s="278"/>
      <c r="V880" s="279"/>
      <c r="W880" s="279"/>
      <c r="X880" s="279"/>
      <c r="Y880" s="279"/>
      <c r="Z880" s="279"/>
      <c r="AA880" s="279"/>
      <c r="AB880" s="279"/>
      <c r="AC880" s="279"/>
      <c r="AD880" s="279"/>
      <c r="AE880" s="279"/>
      <c r="AF880" s="279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80"/>
      <c r="AR880" s="280"/>
      <c r="AS880" s="280"/>
      <c r="AT880" s="280"/>
    </row>
    <row r="881" ht="14.2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78"/>
      <c r="U881" s="278"/>
      <c r="V881" s="279"/>
      <c r="W881" s="279"/>
      <c r="X881" s="279"/>
      <c r="Y881" s="279"/>
      <c r="Z881" s="279"/>
      <c r="AA881" s="279"/>
      <c r="AB881" s="279"/>
      <c r="AC881" s="279"/>
      <c r="AD881" s="279"/>
      <c r="AE881" s="279"/>
      <c r="AF881" s="279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80"/>
      <c r="AR881" s="280"/>
      <c r="AS881" s="280"/>
      <c r="AT881" s="280"/>
    </row>
    <row r="882" ht="14.2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78"/>
      <c r="U882" s="278"/>
      <c r="V882" s="279"/>
      <c r="W882" s="279"/>
      <c r="X882" s="279"/>
      <c r="Y882" s="279"/>
      <c r="Z882" s="279"/>
      <c r="AA882" s="279"/>
      <c r="AB882" s="279"/>
      <c r="AC882" s="279"/>
      <c r="AD882" s="279"/>
      <c r="AE882" s="279"/>
      <c r="AF882" s="279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80"/>
      <c r="AR882" s="280"/>
      <c r="AS882" s="280"/>
      <c r="AT882" s="280"/>
    </row>
    <row r="883" ht="14.2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78"/>
      <c r="U883" s="278"/>
      <c r="V883" s="279"/>
      <c r="W883" s="279"/>
      <c r="X883" s="279"/>
      <c r="Y883" s="279"/>
      <c r="Z883" s="279"/>
      <c r="AA883" s="279"/>
      <c r="AB883" s="279"/>
      <c r="AC883" s="279"/>
      <c r="AD883" s="279"/>
      <c r="AE883" s="279"/>
      <c r="AF883" s="279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80"/>
      <c r="AR883" s="280"/>
      <c r="AS883" s="280"/>
      <c r="AT883" s="280"/>
    </row>
    <row r="884" ht="14.2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78"/>
      <c r="U884" s="278"/>
      <c r="V884" s="279"/>
      <c r="W884" s="279"/>
      <c r="X884" s="279"/>
      <c r="Y884" s="279"/>
      <c r="Z884" s="279"/>
      <c r="AA884" s="279"/>
      <c r="AB884" s="279"/>
      <c r="AC884" s="279"/>
      <c r="AD884" s="279"/>
      <c r="AE884" s="279"/>
      <c r="AF884" s="279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80"/>
      <c r="AR884" s="280"/>
      <c r="AS884" s="280"/>
      <c r="AT884" s="280"/>
    </row>
    <row r="885" ht="14.2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78"/>
      <c r="U885" s="278"/>
      <c r="V885" s="279"/>
      <c r="W885" s="279"/>
      <c r="X885" s="279"/>
      <c r="Y885" s="279"/>
      <c r="Z885" s="279"/>
      <c r="AA885" s="279"/>
      <c r="AB885" s="279"/>
      <c r="AC885" s="279"/>
      <c r="AD885" s="279"/>
      <c r="AE885" s="279"/>
      <c r="AF885" s="279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80"/>
      <c r="AR885" s="280"/>
      <c r="AS885" s="280"/>
      <c r="AT885" s="280"/>
    </row>
    <row r="886" ht="14.2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78"/>
      <c r="U886" s="278"/>
      <c r="V886" s="279"/>
      <c r="W886" s="279"/>
      <c r="X886" s="279"/>
      <c r="Y886" s="279"/>
      <c r="Z886" s="279"/>
      <c r="AA886" s="279"/>
      <c r="AB886" s="279"/>
      <c r="AC886" s="279"/>
      <c r="AD886" s="279"/>
      <c r="AE886" s="279"/>
      <c r="AF886" s="279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80"/>
      <c r="AR886" s="280"/>
      <c r="AS886" s="280"/>
      <c r="AT886" s="280"/>
    </row>
    <row r="887" ht="14.2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78"/>
      <c r="U887" s="278"/>
      <c r="V887" s="279"/>
      <c r="W887" s="279"/>
      <c r="X887" s="279"/>
      <c r="Y887" s="279"/>
      <c r="Z887" s="279"/>
      <c r="AA887" s="279"/>
      <c r="AB887" s="279"/>
      <c r="AC887" s="279"/>
      <c r="AD887" s="279"/>
      <c r="AE887" s="279"/>
      <c r="AF887" s="279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80"/>
      <c r="AR887" s="280"/>
      <c r="AS887" s="280"/>
      <c r="AT887" s="280"/>
    </row>
    <row r="888" ht="14.2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78"/>
      <c r="U888" s="278"/>
      <c r="V888" s="279"/>
      <c r="W888" s="279"/>
      <c r="X888" s="279"/>
      <c r="Y888" s="279"/>
      <c r="Z888" s="279"/>
      <c r="AA888" s="279"/>
      <c r="AB888" s="279"/>
      <c r="AC888" s="279"/>
      <c r="AD888" s="279"/>
      <c r="AE888" s="279"/>
      <c r="AF888" s="279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80"/>
      <c r="AR888" s="280"/>
      <c r="AS888" s="280"/>
      <c r="AT888" s="280"/>
    </row>
    <row r="889" ht="14.2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78"/>
      <c r="U889" s="278"/>
      <c r="V889" s="279"/>
      <c r="W889" s="279"/>
      <c r="X889" s="279"/>
      <c r="Y889" s="279"/>
      <c r="Z889" s="279"/>
      <c r="AA889" s="279"/>
      <c r="AB889" s="279"/>
      <c r="AC889" s="279"/>
      <c r="AD889" s="279"/>
      <c r="AE889" s="279"/>
      <c r="AF889" s="279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80"/>
      <c r="AR889" s="280"/>
      <c r="AS889" s="280"/>
      <c r="AT889" s="280"/>
    </row>
    <row r="890" ht="14.2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78"/>
      <c r="U890" s="278"/>
      <c r="V890" s="279"/>
      <c r="W890" s="279"/>
      <c r="X890" s="279"/>
      <c r="Y890" s="279"/>
      <c r="Z890" s="279"/>
      <c r="AA890" s="279"/>
      <c r="AB890" s="279"/>
      <c r="AC890" s="279"/>
      <c r="AD890" s="279"/>
      <c r="AE890" s="279"/>
      <c r="AF890" s="279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80"/>
      <c r="AR890" s="280"/>
      <c r="AS890" s="280"/>
      <c r="AT890" s="280"/>
    </row>
    <row r="891" ht="14.2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78"/>
      <c r="U891" s="278"/>
      <c r="V891" s="279"/>
      <c r="W891" s="279"/>
      <c r="X891" s="279"/>
      <c r="Y891" s="279"/>
      <c r="Z891" s="279"/>
      <c r="AA891" s="279"/>
      <c r="AB891" s="279"/>
      <c r="AC891" s="279"/>
      <c r="AD891" s="279"/>
      <c r="AE891" s="279"/>
      <c r="AF891" s="279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80"/>
      <c r="AR891" s="280"/>
      <c r="AS891" s="280"/>
      <c r="AT891" s="280"/>
    </row>
    <row r="892" ht="14.2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78"/>
      <c r="U892" s="278"/>
      <c r="V892" s="279"/>
      <c r="W892" s="279"/>
      <c r="X892" s="279"/>
      <c r="Y892" s="279"/>
      <c r="Z892" s="279"/>
      <c r="AA892" s="279"/>
      <c r="AB892" s="279"/>
      <c r="AC892" s="279"/>
      <c r="AD892" s="279"/>
      <c r="AE892" s="279"/>
      <c r="AF892" s="279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80"/>
      <c r="AR892" s="280"/>
      <c r="AS892" s="280"/>
      <c r="AT892" s="280"/>
    </row>
    <row r="893" ht="14.2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78"/>
      <c r="U893" s="278"/>
      <c r="V893" s="279"/>
      <c r="W893" s="279"/>
      <c r="X893" s="279"/>
      <c r="Y893" s="279"/>
      <c r="Z893" s="279"/>
      <c r="AA893" s="279"/>
      <c r="AB893" s="279"/>
      <c r="AC893" s="279"/>
      <c r="AD893" s="279"/>
      <c r="AE893" s="279"/>
      <c r="AF893" s="279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80"/>
      <c r="AR893" s="280"/>
      <c r="AS893" s="280"/>
      <c r="AT893" s="280"/>
    </row>
    <row r="894" ht="14.2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78"/>
      <c r="U894" s="278"/>
      <c r="V894" s="279"/>
      <c r="W894" s="279"/>
      <c r="X894" s="279"/>
      <c r="Y894" s="279"/>
      <c r="Z894" s="279"/>
      <c r="AA894" s="279"/>
      <c r="AB894" s="279"/>
      <c r="AC894" s="279"/>
      <c r="AD894" s="279"/>
      <c r="AE894" s="279"/>
      <c r="AF894" s="279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80"/>
      <c r="AR894" s="280"/>
      <c r="AS894" s="280"/>
      <c r="AT894" s="280"/>
    </row>
    <row r="895" ht="14.2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78"/>
      <c r="U895" s="278"/>
      <c r="V895" s="279"/>
      <c r="W895" s="279"/>
      <c r="X895" s="279"/>
      <c r="Y895" s="279"/>
      <c r="Z895" s="279"/>
      <c r="AA895" s="279"/>
      <c r="AB895" s="279"/>
      <c r="AC895" s="279"/>
      <c r="AD895" s="279"/>
      <c r="AE895" s="279"/>
      <c r="AF895" s="279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80"/>
      <c r="AR895" s="280"/>
      <c r="AS895" s="280"/>
      <c r="AT895" s="280"/>
    </row>
    <row r="896" ht="14.2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78"/>
      <c r="U896" s="278"/>
      <c r="V896" s="279"/>
      <c r="W896" s="279"/>
      <c r="X896" s="279"/>
      <c r="Y896" s="279"/>
      <c r="Z896" s="279"/>
      <c r="AA896" s="279"/>
      <c r="AB896" s="279"/>
      <c r="AC896" s="279"/>
      <c r="AD896" s="279"/>
      <c r="AE896" s="279"/>
      <c r="AF896" s="279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80"/>
      <c r="AR896" s="280"/>
      <c r="AS896" s="280"/>
      <c r="AT896" s="280"/>
    </row>
    <row r="897" ht="14.2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78"/>
      <c r="U897" s="278"/>
      <c r="V897" s="279"/>
      <c r="W897" s="279"/>
      <c r="X897" s="279"/>
      <c r="Y897" s="279"/>
      <c r="Z897" s="279"/>
      <c r="AA897" s="279"/>
      <c r="AB897" s="279"/>
      <c r="AC897" s="279"/>
      <c r="AD897" s="279"/>
      <c r="AE897" s="279"/>
      <c r="AF897" s="279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80"/>
      <c r="AR897" s="280"/>
      <c r="AS897" s="280"/>
      <c r="AT897" s="280"/>
    </row>
    <row r="898" ht="14.2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78"/>
      <c r="U898" s="278"/>
      <c r="V898" s="279"/>
      <c r="W898" s="279"/>
      <c r="X898" s="279"/>
      <c r="Y898" s="279"/>
      <c r="Z898" s="279"/>
      <c r="AA898" s="279"/>
      <c r="AB898" s="279"/>
      <c r="AC898" s="279"/>
      <c r="AD898" s="279"/>
      <c r="AE898" s="279"/>
      <c r="AF898" s="279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80"/>
      <c r="AR898" s="280"/>
      <c r="AS898" s="280"/>
      <c r="AT898" s="280"/>
    </row>
    <row r="899" ht="14.2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78"/>
      <c r="U899" s="278"/>
      <c r="V899" s="279"/>
      <c r="W899" s="279"/>
      <c r="X899" s="279"/>
      <c r="Y899" s="279"/>
      <c r="Z899" s="279"/>
      <c r="AA899" s="279"/>
      <c r="AB899" s="279"/>
      <c r="AC899" s="279"/>
      <c r="AD899" s="279"/>
      <c r="AE899" s="279"/>
      <c r="AF899" s="279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80"/>
      <c r="AR899" s="280"/>
      <c r="AS899" s="280"/>
      <c r="AT899" s="280"/>
    </row>
    <row r="900" ht="14.2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78"/>
      <c r="U900" s="278"/>
      <c r="V900" s="279"/>
      <c r="W900" s="279"/>
      <c r="X900" s="279"/>
      <c r="Y900" s="279"/>
      <c r="Z900" s="279"/>
      <c r="AA900" s="279"/>
      <c r="AB900" s="279"/>
      <c r="AC900" s="279"/>
      <c r="AD900" s="279"/>
      <c r="AE900" s="279"/>
      <c r="AF900" s="279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80"/>
      <c r="AR900" s="280"/>
      <c r="AS900" s="280"/>
      <c r="AT900" s="280"/>
    </row>
    <row r="901" ht="14.2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78"/>
      <c r="U901" s="278"/>
      <c r="V901" s="279"/>
      <c r="W901" s="279"/>
      <c r="X901" s="279"/>
      <c r="Y901" s="279"/>
      <c r="Z901" s="279"/>
      <c r="AA901" s="279"/>
      <c r="AB901" s="279"/>
      <c r="AC901" s="279"/>
      <c r="AD901" s="279"/>
      <c r="AE901" s="279"/>
      <c r="AF901" s="279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80"/>
      <c r="AR901" s="280"/>
      <c r="AS901" s="280"/>
      <c r="AT901" s="280"/>
    </row>
    <row r="902" ht="14.2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78"/>
      <c r="U902" s="278"/>
      <c r="V902" s="279"/>
      <c r="W902" s="279"/>
      <c r="X902" s="279"/>
      <c r="Y902" s="279"/>
      <c r="Z902" s="279"/>
      <c r="AA902" s="279"/>
      <c r="AB902" s="279"/>
      <c r="AC902" s="279"/>
      <c r="AD902" s="279"/>
      <c r="AE902" s="279"/>
      <c r="AF902" s="279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80"/>
      <c r="AR902" s="280"/>
      <c r="AS902" s="280"/>
      <c r="AT902" s="280"/>
    </row>
    <row r="903" ht="14.2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78"/>
      <c r="U903" s="278"/>
      <c r="V903" s="279"/>
      <c r="W903" s="279"/>
      <c r="X903" s="279"/>
      <c r="Y903" s="279"/>
      <c r="Z903" s="279"/>
      <c r="AA903" s="279"/>
      <c r="AB903" s="279"/>
      <c r="AC903" s="279"/>
      <c r="AD903" s="279"/>
      <c r="AE903" s="279"/>
      <c r="AF903" s="279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80"/>
      <c r="AR903" s="280"/>
      <c r="AS903" s="280"/>
      <c r="AT903" s="280"/>
    </row>
    <row r="904" ht="14.2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78"/>
      <c r="U904" s="278"/>
      <c r="V904" s="279"/>
      <c r="W904" s="279"/>
      <c r="X904" s="279"/>
      <c r="Y904" s="279"/>
      <c r="Z904" s="279"/>
      <c r="AA904" s="279"/>
      <c r="AB904" s="279"/>
      <c r="AC904" s="279"/>
      <c r="AD904" s="279"/>
      <c r="AE904" s="279"/>
      <c r="AF904" s="279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80"/>
      <c r="AR904" s="280"/>
      <c r="AS904" s="280"/>
      <c r="AT904" s="280"/>
    </row>
    <row r="905" ht="14.2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78"/>
      <c r="U905" s="278"/>
      <c r="V905" s="279"/>
      <c r="W905" s="279"/>
      <c r="X905" s="279"/>
      <c r="Y905" s="279"/>
      <c r="Z905" s="279"/>
      <c r="AA905" s="279"/>
      <c r="AB905" s="279"/>
      <c r="AC905" s="279"/>
      <c r="AD905" s="279"/>
      <c r="AE905" s="279"/>
      <c r="AF905" s="279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80"/>
      <c r="AR905" s="280"/>
      <c r="AS905" s="280"/>
      <c r="AT905" s="280"/>
    </row>
    <row r="906" ht="14.2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78"/>
      <c r="U906" s="278"/>
      <c r="V906" s="279"/>
      <c r="W906" s="279"/>
      <c r="X906" s="279"/>
      <c r="Y906" s="279"/>
      <c r="Z906" s="279"/>
      <c r="AA906" s="279"/>
      <c r="AB906" s="279"/>
      <c r="AC906" s="279"/>
      <c r="AD906" s="279"/>
      <c r="AE906" s="279"/>
      <c r="AF906" s="279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80"/>
      <c r="AR906" s="280"/>
      <c r="AS906" s="280"/>
      <c r="AT906" s="280"/>
    </row>
    <row r="907" ht="14.2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78"/>
      <c r="U907" s="278"/>
      <c r="V907" s="279"/>
      <c r="W907" s="279"/>
      <c r="X907" s="279"/>
      <c r="Y907" s="279"/>
      <c r="Z907" s="279"/>
      <c r="AA907" s="279"/>
      <c r="AB907" s="279"/>
      <c r="AC907" s="279"/>
      <c r="AD907" s="279"/>
      <c r="AE907" s="279"/>
      <c r="AF907" s="279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80"/>
      <c r="AR907" s="280"/>
      <c r="AS907" s="280"/>
      <c r="AT907" s="280"/>
    </row>
    <row r="908" ht="14.2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78"/>
      <c r="U908" s="278"/>
      <c r="V908" s="279"/>
      <c r="W908" s="279"/>
      <c r="X908" s="279"/>
      <c r="Y908" s="279"/>
      <c r="Z908" s="279"/>
      <c r="AA908" s="279"/>
      <c r="AB908" s="279"/>
      <c r="AC908" s="279"/>
      <c r="AD908" s="279"/>
      <c r="AE908" s="279"/>
      <c r="AF908" s="279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80"/>
      <c r="AR908" s="280"/>
      <c r="AS908" s="280"/>
      <c r="AT908" s="280"/>
    </row>
    <row r="909" ht="14.2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78"/>
      <c r="U909" s="278"/>
      <c r="V909" s="279"/>
      <c r="W909" s="279"/>
      <c r="X909" s="279"/>
      <c r="Y909" s="279"/>
      <c r="Z909" s="279"/>
      <c r="AA909" s="279"/>
      <c r="AB909" s="279"/>
      <c r="AC909" s="279"/>
      <c r="AD909" s="279"/>
      <c r="AE909" s="279"/>
      <c r="AF909" s="279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80"/>
      <c r="AR909" s="280"/>
      <c r="AS909" s="280"/>
      <c r="AT909" s="280"/>
    </row>
    <row r="910" ht="14.2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78"/>
      <c r="U910" s="278"/>
      <c r="V910" s="279"/>
      <c r="W910" s="279"/>
      <c r="X910" s="279"/>
      <c r="Y910" s="279"/>
      <c r="Z910" s="279"/>
      <c r="AA910" s="279"/>
      <c r="AB910" s="279"/>
      <c r="AC910" s="279"/>
      <c r="AD910" s="279"/>
      <c r="AE910" s="279"/>
      <c r="AF910" s="279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80"/>
      <c r="AR910" s="280"/>
      <c r="AS910" s="280"/>
      <c r="AT910" s="280"/>
    </row>
    <row r="911" ht="14.2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78"/>
      <c r="U911" s="278"/>
      <c r="V911" s="279"/>
      <c r="W911" s="279"/>
      <c r="X911" s="279"/>
      <c r="Y911" s="279"/>
      <c r="Z911" s="279"/>
      <c r="AA911" s="279"/>
      <c r="AB911" s="279"/>
      <c r="AC911" s="279"/>
      <c r="AD911" s="279"/>
      <c r="AE911" s="279"/>
      <c r="AF911" s="279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80"/>
      <c r="AR911" s="280"/>
      <c r="AS911" s="280"/>
      <c r="AT911" s="280"/>
    </row>
    <row r="912" ht="14.2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78"/>
      <c r="U912" s="278"/>
      <c r="V912" s="279"/>
      <c r="W912" s="279"/>
      <c r="X912" s="279"/>
      <c r="Y912" s="279"/>
      <c r="Z912" s="279"/>
      <c r="AA912" s="279"/>
      <c r="AB912" s="279"/>
      <c r="AC912" s="279"/>
      <c r="AD912" s="279"/>
      <c r="AE912" s="279"/>
      <c r="AF912" s="279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80"/>
      <c r="AR912" s="280"/>
      <c r="AS912" s="280"/>
      <c r="AT912" s="280"/>
    </row>
    <row r="913" ht="14.2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78"/>
      <c r="U913" s="278"/>
      <c r="V913" s="279"/>
      <c r="W913" s="279"/>
      <c r="X913" s="279"/>
      <c r="Y913" s="279"/>
      <c r="Z913" s="279"/>
      <c r="AA913" s="279"/>
      <c r="AB913" s="279"/>
      <c r="AC913" s="279"/>
      <c r="AD913" s="279"/>
      <c r="AE913" s="279"/>
      <c r="AF913" s="279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80"/>
      <c r="AR913" s="280"/>
      <c r="AS913" s="280"/>
      <c r="AT913" s="280"/>
    </row>
    <row r="914" ht="14.2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78"/>
      <c r="U914" s="278"/>
      <c r="V914" s="279"/>
      <c r="W914" s="279"/>
      <c r="X914" s="279"/>
      <c r="Y914" s="279"/>
      <c r="Z914" s="279"/>
      <c r="AA914" s="279"/>
      <c r="AB914" s="279"/>
      <c r="AC914" s="279"/>
      <c r="AD914" s="279"/>
      <c r="AE914" s="279"/>
      <c r="AF914" s="279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80"/>
      <c r="AR914" s="280"/>
      <c r="AS914" s="280"/>
      <c r="AT914" s="280"/>
    </row>
    <row r="915" ht="14.2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78"/>
      <c r="U915" s="278"/>
      <c r="V915" s="279"/>
      <c r="W915" s="279"/>
      <c r="X915" s="279"/>
      <c r="Y915" s="279"/>
      <c r="Z915" s="279"/>
      <c r="AA915" s="279"/>
      <c r="AB915" s="279"/>
      <c r="AC915" s="279"/>
      <c r="AD915" s="279"/>
      <c r="AE915" s="279"/>
      <c r="AF915" s="279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80"/>
      <c r="AR915" s="280"/>
      <c r="AS915" s="280"/>
      <c r="AT915" s="280"/>
    </row>
    <row r="916" ht="14.2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78"/>
      <c r="U916" s="278"/>
      <c r="V916" s="279"/>
      <c r="W916" s="279"/>
      <c r="X916" s="279"/>
      <c r="Y916" s="279"/>
      <c r="Z916" s="279"/>
      <c r="AA916" s="279"/>
      <c r="AB916" s="279"/>
      <c r="AC916" s="279"/>
      <c r="AD916" s="279"/>
      <c r="AE916" s="279"/>
      <c r="AF916" s="279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80"/>
      <c r="AR916" s="280"/>
      <c r="AS916" s="280"/>
      <c r="AT916" s="280"/>
    </row>
    <row r="917" ht="14.2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78"/>
      <c r="U917" s="278"/>
      <c r="V917" s="279"/>
      <c r="W917" s="279"/>
      <c r="X917" s="279"/>
      <c r="Y917" s="279"/>
      <c r="Z917" s="279"/>
      <c r="AA917" s="279"/>
      <c r="AB917" s="279"/>
      <c r="AC917" s="279"/>
      <c r="AD917" s="279"/>
      <c r="AE917" s="279"/>
      <c r="AF917" s="279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80"/>
      <c r="AR917" s="280"/>
      <c r="AS917" s="280"/>
      <c r="AT917" s="280"/>
    </row>
    <row r="918" ht="14.2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78"/>
      <c r="U918" s="278"/>
      <c r="V918" s="279"/>
      <c r="W918" s="279"/>
      <c r="X918" s="279"/>
      <c r="Y918" s="279"/>
      <c r="Z918" s="279"/>
      <c r="AA918" s="279"/>
      <c r="AB918" s="279"/>
      <c r="AC918" s="279"/>
      <c r="AD918" s="279"/>
      <c r="AE918" s="279"/>
      <c r="AF918" s="279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80"/>
      <c r="AR918" s="280"/>
      <c r="AS918" s="280"/>
      <c r="AT918" s="280"/>
    </row>
    <row r="919" ht="14.2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78"/>
      <c r="U919" s="278"/>
      <c r="V919" s="279"/>
      <c r="W919" s="279"/>
      <c r="X919" s="279"/>
      <c r="Y919" s="279"/>
      <c r="Z919" s="279"/>
      <c r="AA919" s="279"/>
      <c r="AB919" s="279"/>
      <c r="AC919" s="279"/>
      <c r="AD919" s="279"/>
      <c r="AE919" s="279"/>
      <c r="AF919" s="279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80"/>
      <c r="AR919" s="280"/>
      <c r="AS919" s="280"/>
      <c r="AT919" s="280"/>
    </row>
    <row r="920" ht="14.2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78"/>
      <c r="U920" s="278"/>
      <c r="V920" s="279"/>
      <c r="W920" s="279"/>
      <c r="X920" s="279"/>
      <c r="Y920" s="279"/>
      <c r="Z920" s="279"/>
      <c r="AA920" s="279"/>
      <c r="AB920" s="279"/>
      <c r="AC920" s="279"/>
      <c r="AD920" s="279"/>
      <c r="AE920" s="279"/>
      <c r="AF920" s="279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80"/>
      <c r="AR920" s="280"/>
      <c r="AS920" s="280"/>
      <c r="AT920" s="280"/>
    </row>
    <row r="921" ht="14.2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78"/>
      <c r="U921" s="278"/>
      <c r="V921" s="279"/>
      <c r="W921" s="279"/>
      <c r="X921" s="279"/>
      <c r="Y921" s="279"/>
      <c r="Z921" s="279"/>
      <c r="AA921" s="279"/>
      <c r="AB921" s="279"/>
      <c r="AC921" s="279"/>
      <c r="AD921" s="279"/>
      <c r="AE921" s="279"/>
      <c r="AF921" s="279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80"/>
      <c r="AR921" s="280"/>
      <c r="AS921" s="280"/>
      <c r="AT921" s="280"/>
    </row>
    <row r="922" ht="14.2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78"/>
      <c r="U922" s="278"/>
      <c r="V922" s="279"/>
      <c r="W922" s="279"/>
      <c r="X922" s="279"/>
      <c r="Y922" s="279"/>
      <c r="Z922" s="279"/>
      <c r="AA922" s="279"/>
      <c r="AB922" s="279"/>
      <c r="AC922" s="279"/>
      <c r="AD922" s="279"/>
      <c r="AE922" s="279"/>
      <c r="AF922" s="279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80"/>
      <c r="AR922" s="280"/>
      <c r="AS922" s="280"/>
      <c r="AT922" s="280"/>
    </row>
    <row r="923" ht="14.2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78"/>
      <c r="U923" s="278"/>
      <c r="V923" s="279"/>
      <c r="W923" s="279"/>
      <c r="X923" s="279"/>
      <c r="Y923" s="279"/>
      <c r="Z923" s="279"/>
      <c r="AA923" s="279"/>
      <c r="AB923" s="279"/>
      <c r="AC923" s="279"/>
      <c r="AD923" s="279"/>
      <c r="AE923" s="279"/>
      <c r="AF923" s="279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80"/>
      <c r="AR923" s="280"/>
      <c r="AS923" s="280"/>
      <c r="AT923" s="280"/>
    </row>
    <row r="924" ht="14.2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78"/>
      <c r="U924" s="278"/>
      <c r="V924" s="279"/>
      <c r="W924" s="279"/>
      <c r="X924" s="279"/>
      <c r="Y924" s="279"/>
      <c r="Z924" s="279"/>
      <c r="AA924" s="279"/>
      <c r="AB924" s="279"/>
      <c r="AC924" s="279"/>
      <c r="AD924" s="279"/>
      <c r="AE924" s="279"/>
      <c r="AF924" s="279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80"/>
      <c r="AR924" s="280"/>
      <c r="AS924" s="280"/>
      <c r="AT924" s="280"/>
    </row>
    <row r="925" ht="14.2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78"/>
      <c r="U925" s="278"/>
      <c r="V925" s="279"/>
      <c r="W925" s="279"/>
      <c r="X925" s="279"/>
      <c r="Y925" s="279"/>
      <c r="Z925" s="279"/>
      <c r="AA925" s="279"/>
      <c r="AB925" s="279"/>
      <c r="AC925" s="279"/>
      <c r="AD925" s="279"/>
      <c r="AE925" s="279"/>
      <c r="AF925" s="279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80"/>
      <c r="AR925" s="280"/>
      <c r="AS925" s="280"/>
      <c r="AT925" s="280"/>
    </row>
    <row r="926" ht="14.2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78"/>
      <c r="U926" s="278"/>
      <c r="V926" s="279"/>
      <c r="W926" s="279"/>
      <c r="X926" s="279"/>
      <c r="Y926" s="279"/>
      <c r="Z926" s="279"/>
      <c r="AA926" s="279"/>
      <c r="AB926" s="279"/>
      <c r="AC926" s="279"/>
      <c r="AD926" s="279"/>
      <c r="AE926" s="279"/>
      <c r="AF926" s="279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80"/>
      <c r="AR926" s="280"/>
      <c r="AS926" s="280"/>
      <c r="AT926" s="280"/>
    </row>
    <row r="927" ht="14.2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78"/>
      <c r="U927" s="278"/>
      <c r="V927" s="279"/>
      <c r="W927" s="279"/>
      <c r="X927" s="279"/>
      <c r="Y927" s="279"/>
      <c r="Z927" s="279"/>
      <c r="AA927" s="279"/>
      <c r="AB927" s="279"/>
      <c r="AC927" s="279"/>
      <c r="AD927" s="279"/>
      <c r="AE927" s="279"/>
      <c r="AF927" s="279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80"/>
      <c r="AR927" s="280"/>
      <c r="AS927" s="280"/>
      <c r="AT927" s="280"/>
    </row>
    <row r="928" ht="14.2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78"/>
      <c r="U928" s="278"/>
      <c r="V928" s="279"/>
      <c r="W928" s="279"/>
      <c r="X928" s="279"/>
      <c r="Y928" s="279"/>
      <c r="Z928" s="279"/>
      <c r="AA928" s="279"/>
      <c r="AB928" s="279"/>
      <c r="AC928" s="279"/>
      <c r="AD928" s="279"/>
      <c r="AE928" s="279"/>
      <c r="AF928" s="279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80"/>
      <c r="AR928" s="280"/>
      <c r="AS928" s="280"/>
      <c r="AT928" s="280"/>
    </row>
    <row r="929" ht="14.2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78"/>
      <c r="U929" s="278"/>
      <c r="V929" s="279"/>
      <c r="W929" s="279"/>
      <c r="X929" s="279"/>
      <c r="Y929" s="279"/>
      <c r="Z929" s="279"/>
      <c r="AA929" s="279"/>
      <c r="AB929" s="279"/>
      <c r="AC929" s="279"/>
      <c r="AD929" s="279"/>
      <c r="AE929" s="279"/>
      <c r="AF929" s="279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80"/>
      <c r="AR929" s="280"/>
      <c r="AS929" s="280"/>
      <c r="AT929" s="280"/>
    </row>
    <row r="930" ht="14.2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78"/>
      <c r="U930" s="278"/>
      <c r="V930" s="279"/>
      <c r="W930" s="279"/>
      <c r="X930" s="279"/>
      <c r="Y930" s="279"/>
      <c r="Z930" s="279"/>
      <c r="AA930" s="279"/>
      <c r="AB930" s="279"/>
      <c r="AC930" s="279"/>
      <c r="AD930" s="279"/>
      <c r="AE930" s="279"/>
      <c r="AF930" s="279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80"/>
      <c r="AR930" s="280"/>
      <c r="AS930" s="280"/>
      <c r="AT930" s="280"/>
    </row>
    <row r="931" ht="14.2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78"/>
      <c r="U931" s="278"/>
      <c r="V931" s="279"/>
      <c r="W931" s="279"/>
      <c r="X931" s="279"/>
      <c r="Y931" s="279"/>
      <c r="Z931" s="279"/>
      <c r="AA931" s="279"/>
      <c r="AB931" s="279"/>
      <c r="AC931" s="279"/>
      <c r="AD931" s="279"/>
      <c r="AE931" s="279"/>
      <c r="AF931" s="279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80"/>
      <c r="AR931" s="280"/>
      <c r="AS931" s="280"/>
      <c r="AT931" s="280"/>
    </row>
    <row r="932" ht="14.2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78"/>
      <c r="U932" s="278"/>
      <c r="V932" s="279"/>
      <c r="W932" s="279"/>
      <c r="X932" s="279"/>
      <c r="Y932" s="279"/>
      <c r="Z932" s="279"/>
      <c r="AA932" s="279"/>
      <c r="AB932" s="279"/>
      <c r="AC932" s="279"/>
      <c r="AD932" s="279"/>
      <c r="AE932" s="279"/>
      <c r="AF932" s="279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80"/>
      <c r="AR932" s="280"/>
      <c r="AS932" s="280"/>
      <c r="AT932" s="280"/>
    </row>
    <row r="933" ht="14.2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78"/>
      <c r="U933" s="278"/>
      <c r="V933" s="279"/>
      <c r="W933" s="279"/>
      <c r="X933" s="279"/>
      <c r="Y933" s="279"/>
      <c r="Z933" s="279"/>
      <c r="AA933" s="279"/>
      <c r="AB933" s="279"/>
      <c r="AC933" s="279"/>
      <c r="AD933" s="279"/>
      <c r="AE933" s="279"/>
      <c r="AF933" s="279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80"/>
      <c r="AR933" s="280"/>
      <c r="AS933" s="280"/>
      <c r="AT933" s="280"/>
    </row>
    <row r="934" ht="14.2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78"/>
      <c r="U934" s="278"/>
      <c r="V934" s="279"/>
      <c r="W934" s="279"/>
      <c r="X934" s="279"/>
      <c r="Y934" s="279"/>
      <c r="Z934" s="279"/>
      <c r="AA934" s="279"/>
      <c r="AB934" s="279"/>
      <c r="AC934" s="279"/>
      <c r="AD934" s="279"/>
      <c r="AE934" s="279"/>
      <c r="AF934" s="279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80"/>
      <c r="AR934" s="280"/>
      <c r="AS934" s="280"/>
      <c r="AT934" s="280"/>
    </row>
    <row r="935" ht="14.2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78"/>
      <c r="U935" s="278"/>
      <c r="V935" s="279"/>
      <c r="W935" s="279"/>
      <c r="X935" s="279"/>
      <c r="Y935" s="279"/>
      <c r="Z935" s="279"/>
      <c r="AA935" s="279"/>
      <c r="AB935" s="279"/>
      <c r="AC935" s="279"/>
      <c r="AD935" s="279"/>
      <c r="AE935" s="279"/>
      <c r="AF935" s="279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80"/>
      <c r="AR935" s="280"/>
      <c r="AS935" s="280"/>
      <c r="AT935" s="280"/>
    </row>
    <row r="936" ht="14.2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78"/>
      <c r="U936" s="278"/>
      <c r="V936" s="279"/>
      <c r="W936" s="279"/>
      <c r="X936" s="279"/>
      <c r="Y936" s="279"/>
      <c r="Z936" s="279"/>
      <c r="AA936" s="279"/>
      <c r="AB936" s="279"/>
      <c r="AC936" s="279"/>
      <c r="AD936" s="279"/>
      <c r="AE936" s="279"/>
      <c r="AF936" s="279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80"/>
      <c r="AR936" s="280"/>
      <c r="AS936" s="280"/>
      <c r="AT936" s="280"/>
    </row>
    <row r="937" ht="14.2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78"/>
      <c r="U937" s="278"/>
      <c r="V937" s="279"/>
      <c r="W937" s="279"/>
      <c r="X937" s="279"/>
      <c r="Y937" s="279"/>
      <c r="Z937" s="279"/>
      <c r="AA937" s="279"/>
      <c r="AB937" s="279"/>
      <c r="AC937" s="279"/>
      <c r="AD937" s="279"/>
      <c r="AE937" s="279"/>
      <c r="AF937" s="279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80"/>
      <c r="AR937" s="280"/>
      <c r="AS937" s="280"/>
      <c r="AT937" s="280"/>
    </row>
    <row r="938" ht="14.2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78"/>
      <c r="U938" s="278"/>
      <c r="V938" s="279"/>
      <c r="W938" s="279"/>
      <c r="X938" s="279"/>
      <c r="Y938" s="279"/>
      <c r="Z938" s="279"/>
      <c r="AA938" s="279"/>
      <c r="AB938" s="279"/>
      <c r="AC938" s="279"/>
      <c r="AD938" s="279"/>
      <c r="AE938" s="279"/>
      <c r="AF938" s="279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80"/>
      <c r="AR938" s="280"/>
      <c r="AS938" s="280"/>
      <c r="AT938" s="280"/>
    </row>
    <row r="939" ht="14.2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78"/>
      <c r="U939" s="278"/>
      <c r="V939" s="279"/>
      <c r="W939" s="279"/>
      <c r="X939" s="279"/>
      <c r="Y939" s="279"/>
      <c r="Z939" s="279"/>
      <c r="AA939" s="279"/>
      <c r="AB939" s="279"/>
      <c r="AC939" s="279"/>
      <c r="AD939" s="279"/>
      <c r="AE939" s="279"/>
      <c r="AF939" s="279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80"/>
      <c r="AR939" s="280"/>
      <c r="AS939" s="280"/>
      <c r="AT939" s="280"/>
    </row>
    <row r="940" ht="14.2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78"/>
      <c r="U940" s="278"/>
      <c r="V940" s="279"/>
      <c r="W940" s="279"/>
      <c r="X940" s="279"/>
      <c r="Y940" s="279"/>
      <c r="Z940" s="279"/>
      <c r="AA940" s="279"/>
      <c r="AB940" s="279"/>
      <c r="AC940" s="279"/>
      <c r="AD940" s="279"/>
      <c r="AE940" s="279"/>
      <c r="AF940" s="279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80"/>
      <c r="AR940" s="280"/>
      <c r="AS940" s="280"/>
      <c r="AT940" s="280"/>
    </row>
    <row r="941" ht="14.2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78"/>
      <c r="U941" s="278"/>
      <c r="V941" s="279"/>
      <c r="W941" s="279"/>
      <c r="X941" s="279"/>
      <c r="Y941" s="279"/>
      <c r="Z941" s="279"/>
      <c r="AA941" s="279"/>
      <c r="AB941" s="279"/>
      <c r="AC941" s="279"/>
      <c r="AD941" s="279"/>
      <c r="AE941" s="279"/>
      <c r="AF941" s="279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80"/>
      <c r="AR941" s="280"/>
      <c r="AS941" s="280"/>
      <c r="AT941" s="280"/>
    </row>
    <row r="942" ht="14.2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78"/>
      <c r="U942" s="278"/>
      <c r="V942" s="279"/>
      <c r="W942" s="279"/>
      <c r="X942" s="279"/>
      <c r="Y942" s="279"/>
      <c r="Z942" s="279"/>
      <c r="AA942" s="279"/>
      <c r="AB942" s="279"/>
      <c r="AC942" s="279"/>
      <c r="AD942" s="279"/>
      <c r="AE942" s="279"/>
      <c r="AF942" s="279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80"/>
      <c r="AR942" s="280"/>
      <c r="AS942" s="280"/>
      <c r="AT942" s="280"/>
    </row>
    <row r="943" ht="14.2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78"/>
      <c r="U943" s="278"/>
      <c r="V943" s="279"/>
      <c r="W943" s="279"/>
      <c r="X943" s="279"/>
      <c r="Y943" s="279"/>
      <c r="Z943" s="279"/>
      <c r="AA943" s="279"/>
      <c r="AB943" s="279"/>
      <c r="AC943" s="279"/>
      <c r="AD943" s="279"/>
      <c r="AE943" s="279"/>
      <c r="AF943" s="279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80"/>
      <c r="AR943" s="280"/>
      <c r="AS943" s="280"/>
      <c r="AT943" s="280"/>
    </row>
    <row r="944" ht="14.2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78"/>
      <c r="U944" s="278"/>
      <c r="V944" s="279"/>
      <c r="W944" s="279"/>
      <c r="X944" s="279"/>
      <c r="Y944" s="279"/>
      <c r="Z944" s="279"/>
      <c r="AA944" s="279"/>
      <c r="AB944" s="279"/>
      <c r="AC944" s="279"/>
      <c r="AD944" s="279"/>
      <c r="AE944" s="279"/>
      <c r="AF944" s="279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80"/>
      <c r="AR944" s="280"/>
      <c r="AS944" s="280"/>
      <c r="AT944" s="280"/>
    </row>
    <row r="945" ht="14.2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78"/>
      <c r="U945" s="278"/>
      <c r="V945" s="279"/>
      <c r="W945" s="279"/>
      <c r="X945" s="279"/>
      <c r="Y945" s="279"/>
      <c r="Z945" s="279"/>
      <c r="AA945" s="279"/>
      <c r="AB945" s="279"/>
      <c r="AC945" s="279"/>
      <c r="AD945" s="279"/>
      <c r="AE945" s="279"/>
      <c r="AF945" s="279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80"/>
      <c r="AR945" s="280"/>
      <c r="AS945" s="280"/>
      <c r="AT945" s="280"/>
    </row>
    <row r="946" ht="14.2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78"/>
      <c r="U946" s="278"/>
      <c r="V946" s="279"/>
      <c r="W946" s="279"/>
      <c r="X946" s="279"/>
      <c r="Y946" s="279"/>
      <c r="Z946" s="279"/>
      <c r="AA946" s="279"/>
      <c r="AB946" s="279"/>
      <c r="AC946" s="279"/>
      <c r="AD946" s="279"/>
      <c r="AE946" s="279"/>
      <c r="AF946" s="279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80"/>
      <c r="AR946" s="280"/>
      <c r="AS946" s="280"/>
      <c r="AT946" s="280"/>
    </row>
    <row r="947" ht="14.2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78"/>
      <c r="U947" s="278"/>
      <c r="V947" s="279"/>
      <c r="W947" s="279"/>
      <c r="X947" s="279"/>
      <c r="Y947" s="279"/>
      <c r="Z947" s="279"/>
      <c r="AA947" s="279"/>
      <c r="AB947" s="279"/>
      <c r="AC947" s="279"/>
      <c r="AD947" s="279"/>
      <c r="AE947" s="279"/>
      <c r="AF947" s="279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80"/>
      <c r="AR947" s="280"/>
      <c r="AS947" s="280"/>
      <c r="AT947" s="280"/>
    </row>
    <row r="948" ht="14.2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78"/>
      <c r="U948" s="278"/>
      <c r="V948" s="279"/>
      <c r="W948" s="279"/>
      <c r="X948" s="279"/>
      <c r="Y948" s="279"/>
      <c r="Z948" s="279"/>
      <c r="AA948" s="279"/>
      <c r="AB948" s="279"/>
      <c r="AC948" s="279"/>
      <c r="AD948" s="279"/>
      <c r="AE948" s="279"/>
      <c r="AF948" s="279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80"/>
      <c r="AR948" s="280"/>
      <c r="AS948" s="280"/>
      <c r="AT948" s="280"/>
    </row>
    <row r="949" ht="14.2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78"/>
      <c r="U949" s="278"/>
      <c r="V949" s="279"/>
      <c r="W949" s="279"/>
      <c r="X949" s="279"/>
      <c r="Y949" s="279"/>
      <c r="Z949" s="279"/>
      <c r="AA949" s="279"/>
      <c r="AB949" s="279"/>
      <c r="AC949" s="279"/>
      <c r="AD949" s="279"/>
      <c r="AE949" s="279"/>
      <c r="AF949" s="279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80"/>
      <c r="AR949" s="280"/>
      <c r="AS949" s="280"/>
      <c r="AT949" s="280"/>
    </row>
    <row r="950" ht="14.2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78"/>
      <c r="U950" s="278"/>
      <c r="V950" s="279"/>
      <c r="W950" s="279"/>
      <c r="X950" s="279"/>
      <c r="Y950" s="279"/>
      <c r="Z950" s="279"/>
      <c r="AA950" s="279"/>
      <c r="AB950" s="279"/>
      <c r="AC950" s="279"/>
      <c r="AD950" s="279"/>
      <c r="AE950" s="279"/>
      <c r="AF950" s="279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80"/>
      <c r="AR950" s="280"/>
      <c r="AS950" s="280"/>
      <c r="AT950" s="280"/>
    </row>
    <row r="951" ht="14.2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78"/>
      <c r="U951" s="278"/>
      <c r="V951" s="279"/>
      <c r="W951" s="279"/>
      <c r="X951" s="279"/>
      <c r="Y951" s="279"/>
      <c r="Z951" s="279"/>
      <c r="AA951" s="279"/>
      <c r="AB951" s="279"/>
      <c r="AC951" s="279"/>
      <c r="AD951" s="279"/>
      <c r="AE951" s="279"/>
      <c r="AF951" s="279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80"/>
      <c r="AR951" s="280"/>
      <c r="AS951" s="280"/>
      <c r="AT951" s="280"/>
    </row>
    <row r="952" ht="14.2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78"/>
      <c r="U952" s="278"/>
      <c r="V952" s="279"/>
      <c r="W952" s="279"/>
      <c r="X952" s="279"/>
      <c r="Y952" s="279"/>
      <c r="Z952" s="279"/>
      <c r="AA952" s="279"/>
      <c r="AB952" s="279"/>
      <c r="AC952" s="279"/>
      <c r="AD952" s="279"/>
      <c r="AE952" s="279"/>
      <c r="AF952" s="279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80"/>
      <c r="AR952" s="280"/>
      <c r="AS952" s="280"/>
      <c r="AT952" s="280"/>
    </row>
    <row r="953" ht="14.2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78"/>
      <c r="U953" s="278"/>
      <c r="V953" s="279"/>
      <c r="W953" s="279"/>
      <c r="X953" s="279"/>
      <c r="Y953" s="279"/>
      <c r="Z953" s="279"/>
      <c r="AA953" s="279"/>
      <c r="AB953" s="279"/>
      <c r="AC953" s="279"/>
      <c r="AD953" s="279"/>
      <c r="AE953" s="279"/>
      <c r="AF953" s="279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80"/>
      <c r="AR953" s="280"/>
      <c r="AS953" s="280"/>
      <c r="AT953" s="280"/>
    </row>
    <row r="954" ht="14.2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78"/>
      <c r="U954" s="278"/>
      <c r="V954" s="279"/>
      <c r="W954" s="279"/>
      <c r="X954" s="279"/>
      <c r="Y954" s="279"/>
      <c r="Z954" s="279"/>
      <c r="AA954" s="279"/>
      <c r="AB954" s="279"/>
      <c r="AC954" s="279"/>
      <c r="AD954" s="279"/>
      <c r="AE954" s="279"/>
      <c r="AF954" s="279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80"/>
      <c r="AR954" s="280"/>
      <c r="AS954" s="280"/>
      <c r="AT954" s="280"/>
    </row>
    <row r="955" ht="14.2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78"/>
      <c r="U955" s="278"/>
      <c r="V955" s="279"/>
      <c r="W955" s="279"/>
      <c r="X955" s="279"/>
      <c r="Y955" s="279"/>
      <c r="Z955" s="279"/>
      <c r="AA955" s="279"/>
      <c r="AB955" s="279"/>
      <c r="AC955" s="279"/>
      <c r="AD955" s="279"/>
      <c r="AE955" s="279"/>
      <c r="AF955" s="279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80"/>
      <c r="AR955" s="280"/>
      <c r="AS955" s="280"/>
      <c r="AT955" s="280"/>
    </row>
    <row r="956" ht="14.2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78"/>
      <c r="U956" s="278"/>
      <c r="V956" s="279"/>
      <c r="W956" s="279"/>
      <c r="X956" s="279"/>
      <c r="Y956" s="279"/>
      <c r="Z956" s="279"/>
      <c r="AA956" s="279"/>
      <c r="AB956" s="279"/>
      <c r="AC956" s="279"/>
      <c r="AD956" s="279"/>
      <c r="AE956" s="279"/>
      <c r="AF956" s="279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80"/>
      <c r="AR956" s="280"/>
      <c r="AS956" s="280"/>
      <c r="AT956" s="280"/>
    </row>
    <row r="957" ht="14.2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78"/>
      <c r="U957" s="278"/>
      <c r="V957" s="279"/>
      <c r="W957" s="279"/>
      <c r="X957" s="279"/>
      <c r="Y957" s="279"/>
      <c r="Z957" s="279"/>
      <c r="AA957" s="279"/>
      <c r="AB957" s="279"/>
      <c r="AC957" s="279"/>
      <c r="AD957" s="279"/>
      <c r="AE957" s="279"/>
      <c r="AF957" s="279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80"/>
      <c r="AR957" s="280"/>
      <c r="AS957" s="280"/>
      <c r="AT957" s="280"/>
    </row>
    <row r="958" ht="14.2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78"/>
      <c r="U958" s="278"/>
      <c r="V958" s="279"/>
      <c r="W958" s="279"/>
      <c r="X958" s="279"/>
      <c r="Y958" s="279"/>
      <c r="Z958" s="279"/>
      <c r="AA958" s="279"/>
      <c r="AB958" s="279"/>
      <c r="AC958" s="279"/>
      <c r="AD958" s="279"/>
      <c r="AE958" s="279"/>
      <c r="AF958" s="279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80"/>
      <c r="AR958" s="280"/>
      <c r="AS958" s="280"/>
      <c r="AT958" s="280"/>
    </row>
    <row r="959" ht="14.2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78"/>
      <c r="U959" s="278"/>
      <c r="V959" s="279"/>
      <c r="W959" s="279"/>
      <c r="X959" s="279"/>
      <c r="Y959" s="279"/>
      <c r="Z959" s="279"/>
      <c r="AA959" s="279"/>
      <c r="AB959" s="279"/>
      <c r="AC959" s="279"/>
      <c r="AD959" s="279"/>
      <c r="AE959" s="279"/>
      <c r="AF959" s="279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80"/>
      <c r="AR959" s="280"/>
      <c r="AS959" s="280"/>
      <c r="AT959" s="280"/>
    </row>
    <row r="960" ht="14.2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78"/>
      <c r="U960" s="278"/>
      <c r="V960" s="279"/>
      <c r="W960" s="279"/>
      <c r="X960" s="279"/>
      <c r="Y960" s="279"/>
      <c r="Z960" s="279"/>
      <c r="AA960" s="279"/>
      <c r="AB960" s="279"/>
      <c r="AC960" s="279"/>
      <c r="AD960" s="279"/>
      <c r="AE960" s="279"/>
      <c r="AF960" s="279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80"/>
      <c r="AR960" s="280"/>
      <c r="AS960" s="280"/>
      <c r="AT960" s="280"/>
    </row>
    <row r="961" ht="14.2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78"/>
      <c r="U961" s="278"/>
      <c r="V961" s="279"/>
      <c r="W961" s="279"/>
      <c r="X961" s="279"/>
      <c r="Y961" s="279"/>
      <c r="Z961" s="279"/>
      <c r="AA961" s="279"/>
      <c r="AB961" s="279"/>
      <c r="AC961" s="279"/>
      <c r="AD961" s="279"/>
      <c r="AE961" s="279"/>
      <c r="AF961" s="279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80"/>
      <c r="AR961" s="280"/>
      <c r="AS961" s="280"/>
      <c r="AT961" s="280"/>
    </row>
    <row r="962" ht="14.2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78"/>
      <c r="U962" s="278"/>
      <c r="V962" s="279"/>
      <c r="W962" s="279"/>
      <c r="X962" s="279"/>
      <c r="Y962" s="279"/>
      <c r="Z962" s="279"/>
      <c r="AA962" s="279"/>
      <c r="AB962" s="279"/>
      <c r="AC962" s="279"/>
      <c r="AD962" s="279"/>
      <c r="AE962" s="279"/>
      <c r="AF962" s="279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80"/>
      <c r="AR962" s="280"/>
      <c r="AS962" s="280"/>
      <c r="AT962" s="280"/>
    </row>
    <row r="963" ht="14.2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78"/>
      <c r="U963" s="278"/>
      <c r="V963" s="279"/>
      <c r="W963" s="279"/>
      <c r="X963" s="279"/>
      <c r="Y963" s="279"/>
      <c r="Z963" s="279"/>
      <c r="AA963" s="279"/>
      <c r="AB963" s="279"/>
      <c r="AC963" s="279"/>
      <c r="AD963" s="279"/>
      <c r="AE963" s="279"/>
      <c r="AF963" s="279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80"/>
      <c r="AR963" s="280"/>
      <c r="AS963" s="280"/>
      <c r="AT963" s="280"/>
    </row>
    <row r="964" ht="14.2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78"/>
      <c r="U964" s="278"/>
      <c r="V964" s="279"/>
      <c r="W964" s="279"/>
      <c r="X964" s="279"/>
      <c r="Y964" s="279"/>
      <c r="Z964" s="279"/>
      <c r="AA964" s="279"/>
      <c r="AB964" s="279"/>
      <c r="AC964" s="279"/>
      <c r="AD964" s="279"/>
      <c r="AE964" s="279"/>
      <c r="AF964" s="279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80"/>
      <c r="AR964" s="280"/>
      <c r="AS964" s="280"/>
      <c r="AT964" s="280"/>
    </row>
    <row r="965" ht="14.2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78"/>
      <c r="U965" s="278"/>
      <c r="V965" s="279"/>
      <c r="W965" s="279"/>
      <c r="X965" s="279"/>
      <c r="Y965" s="279"/>
      <c r="Z965" s="279"/>
      <c r="AA965" s="279"/>
      <c r="AB965" s="279"/>
      <c r="AC965" s="279"/>
      <c r="AD965" s="279"/>
      <c r="AE965" s="279"/>
      <c r="AF965" s="279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80"/>
      <c r="AR965" s="280"/>
      <c r="AS965" s="280"/>
      <c r="AT965" s="280"/>
    </row>
    <row r="966" ht="14.2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78"/>
      <c r="U966" s="278"/>
      <c r="V966" s="279"/>
      <c r="W966" s="279"/>
      <c r="X966" s="279"/>
      <c r="Y966" s="279"/>
      <c r="Z966" s="279"/>
      <c r="AA966" s="279"/>
      <c r="AB966" s="279"/>
      <c r="AC966" s="279"/>
      <c r="AD966" s="279"/>
      <c r="AE966" s="279"/>
      <c r="AF966" s="279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80"/>
      <c r="AR966" s="280"/>
      <c r="AS966" s="280"/>
      <c r="AT966" s="280"/>
    </row>
    <row r="967" ht="14.2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78"/>
      <c r="U967" s="278"/>
      <c r="V967" s="279"/>
      <c r="W967" s="279"/>
      <c r="X967" s="279"/>
      <c r="Y967" s="279"/>
      <c r="Z967" s="279"/>
      <c r="AA967" s="279"/>
      <c r="AB967" s="279"/>
      <c r="AC967" s="279"/>
      <c r="AD967" s="279"/>
      <c r="AE967" s="279"/>
      <c r="AF967" s="279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80"/>
      <c r="AR967" s="280"/>
      <c r="AS967" s="280"/>
      <c r="AT967" s="280"/>
    </row>
    <row r="968" ht="14.2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78"/>
      <c r="U968" s="278"/>
      <c r="V968" s="279"/>
      <c r="W968" s="279"/>
      <c r="X968" s="279"/>
      <c r="Y968" s="279"/>
      <c r="Z968" s="279"/>
      <c r="AA968" s="279"/>
      <c r="AB968" s="279"/>
      <c r="AC968" s="279"/>
      <c r="AD968" s="279"/>
      <c r="AE968" s="279"/>
      <c r="AF968" s="279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80"/>
      <c r="AR968" s="280"/>
      <c r="AS968" s="280"/>
      <c r="AT968" s="280"/>
    </row>
    <row r="969" ht="14.2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78"/>
      <c r="U969" s="278"/>
      <c r="V969" s="279"/>
      <c r="W969" s="279"/>
      <c r="X969" s="279"/>
      <c r="Y969" s="279"/>
      <c r="Z969" s="279"/>
      <c r="AA969" s="279"/>
      <c r="AB969" s="279"/>
      <c r="AC969" s="279"/>
      <c r="AD969" s="279"/>
      <c r="AE969" s="279"/>
      <c r="AF969" s="279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80"/>
      <c r="AR969" s="280"/>
      <c r="AS969" s="280"/>
      <c r="AT969" s="280"/>
    </row>
    <row r="970" ht="14.2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78"/>
      <c r="U970" s="278"/>
      <c r="V970" s="279"/>
      <c r="W970" s="279"/>
      <c r="X970" s="279"/>
      <c r="Y970" s="279"/>
      <c r="Z970" s="279"/>
      <c r="AA970" s="279"/>
      <c r="AB970" s="279"/>
      <c r="AC970" s="279"/>
      <c r="AD970" s="279"/>
      <c r="AE970" s="279"/>
      <c r="AF970" s="279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80"/>
      <c r="AR970" s="280"/>
      <c r="AS970" s="280"/>
      <c r="AT970" s="280"/>
    </row>
    <row r="971" ht="14.2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78"/>
      <c r="U971" s="278"/>
      <c r="V971" s="279"/>
      <c r="W971" s="279"/>
      <c r="X971" s="279"/>
      <c r="Y971" s="279"/>
      <c r="Z971" s="279"/>
      <c r="AA971" s="279"/>
      <c r="AB971" s="279"/>
      <c r="AC971" s="279"/>
      <c r="AD971" s="279"/>
      <c r="AE971" s="279"/>
      <c r="AF971" s="279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80"/>
      <c r="AR971" s="280"/>
      <c r="AS971" s="280"/>
      <c r="AT971" s="280"/>
    </row>
    <row r="972" ht="14.2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78"/>
      <c r="U972" s="278"/>
      <c r="V972" s="279"/>
      <c r="W972" s="279"/>
      <c r="X972" s="279"/>
      <c r="Y972" s="279"/>
      <c r="Z972" s="279"/>
      <c r="AA972" s="279"/>
      <c r="AB972" s="279"/>
      <c r="AC972" s="279"/>
      <c r="AD972" s="279"/>
      <c r="AE972" s="279"/>
      <c r="AF972" s="279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80"/>
      <c r="AR972" s="280"/>
      <c r="AS972" s="280"/>
      <c r="AT972" s="280"/>
    </row>
    <row r="973" ht="14.2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78"/>
      <c r="U973" s="278"/>
      <c r="V973" s="279"/>
      <c r="W973" s="279"/>
      <c r="X973" s="279"/>
      <c r="Y973" s="279"/>
      <c r="Z973" s="279"/>
      <c r="AA973" s="279"/>
      <c r="AB973" s="279"/>
      <c r="AC973" s="279"/>
      <c r="AD973" s="279"/>
      <c r="AE973" s="279"/>
      <c r="AF973" s="279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80"/>
      <c r="AR973" s="280"/>
      <c r="AS973" s="280"/>
      <c r="AT973" s="280"/>
    </row>
    <row r="974" ht="14.2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78"/>
      <c r="U974" s="278"/>
      <c r="V974" s="279"/>
      <c r="W974" s="279"/>
      <c r="X974" s="279"/>
      <c r="Y974" s="279"/>
      <c r="Z974" s="279"/>
      <c r="AA974" s="279"/>
      <c r="AB974" s="279"/>
      <c r="AC974" s="279"/>
      <c r="AD974" s="279"/>
      <c r="AE974" s="279"/>
      <c r="AF974" s="279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80"/>
      <c r="AR974" s="280"/>
      <c r="AS974" s="280"/>
      <c r="AT974" s="280"/>
    </row>
    <row r="975" ht="14.2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78"/>
      <c r="U975" s="278"/>
      <c r="V975" s="279"/>
      <c r="W975" s="279"/>
      <c r="X975" s="279"/>
      <c r="Y975" s="279"/>
      <c r="Z975" s="279"/>
      <c r="AA975" s="279"/>
      <c r="AB975" s="279"/>
      <c r="AC975" s="279"/>
      <c r="AD975" s="279"/>
      <c r="AE975" s="279"/>
      <c r="AF975" s="279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80"/>
      <c r="AR975" s="280"/>
      <c r="AS975" s="280"/>
      <c r="AT975" s="280"/>
    </row>
    <row r="976" ht="14.2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78"/>
      <c r="U976" s="278"/>
      <c r="V976" s="279"/>
      <c r="W976" s="279"/>
      <c r="X976" s="279"/>
      <c r="Y976" s="279"/>
      <c r="Z976" s="279"/>
      <c r="AA976" s="279"/>
      <c r="AB976" s="279"/>
      <c r="AC976" s="279"/>
      <c r="AD976" s="279"/>
      <c r="AE976" s="279"/>
      <c r="AF976" s="279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80"/>
      <c r="AR976" s="280"/>
      <c r="AS976" s="280"/>
      <c r="AT976" s="280"/>
    </row>
    <row r="977" ht="14.2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78"/>
      <c r="U977" s="278"/>
      <c r="V977" s="279"/>
      <c r="W977" s="279"/>
      <c r="X977" s="279"/>
      <c r="Y977" s="279"/>
      <c r="Z977" s="279"/>
      <c r="AA977" s="279"/>
      <c r="AB977" s="279"/>
      <c r="AC977" s="279"/>
      <c r="AD977" s="279"/>
      <c r="AE977" s="279"/>
      <c r="AF977" s="279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80"/>
      <c r="AR977" s="280"/>
      <c r="AS977" s="280"/>
      <c r="AT977" s="280"/>
    </row>
    <row r="978" ht="14.2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78"/>
      <c r="U978" s="278"/>
      <c r="V978" s="279"/>
      <c r="W978" s="279"/>
      <c r="X978" s="279"/>
      <c r="Y978" s="279"/>
      <c r="Z978" s="279"/>
      <c r="AA978" s="279"/>
      <c r="AB978" s="279"/>
      <c r="AC978" s="279"/>
      <c r="AD978" s="279"/>
      <c r="AE978" s="279"/>
      <c r="AF978" s="279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80"/>
      <c r="AR978" s="280"/>
      <c r="AS978" s="280"/>
      <c r="AT978" s="280"/>
    </row>
    <row r="979" ht="14.2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78"/>
      <c r="U979" s="278"/>
      <c r="V979" s="279"/>
      <c r="W979" s="279"/>
      <c r="X979" s="279"/>
      <c r="Y979" s="279"/>
      <c r="Z979" s="279"/>
      <c r="AA979" s="279"/>
      <c r="AB979" s="279"/>
      <c r="AC979" s="279"/>
      <c r="AD979" s="279"/>
      <c r="AE979" s="279"/>
      <c r="AF979" s="279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80"/>
      <c r="AR979" s="280"/>
      <c r="AS979" s="280"/>
      <c r="AT979" s="280"/>
    </row>
    <row r="980" ht="14.2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78"/>
      <c r="U980" s="278"/>
      <c r="V980" s="279"/>
      <c r="W980" s="279"/>
      <c r="X980" s="279"/>
      <c r="Y980" s="279"/>
      <c r="Z980" s="279"/>
      <c r="AA980" s="279"/>
      <c r="AB980" s="279"/>
      <c r="AC980" s="279"/>
      <c r="AD980" s="279"/>
      <c r="AE980" s="279"/>
      <c r="AF980" s="279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80"/>
      <c r="AR980" s="280"/>
      <c r="AS980" s="280"/>
      <c r="AT980" s="280"/>
    </row>
    <row r="981" ht="14.2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78"/>
      <c r="U981" s="278"/>
      <c r="V981" s="279"/>
      <c r="W981" s="279"/>
      <c r="X981" s="279"/>
      <c r="Y981" s="279"/>
      <c r="Z981" s="279"/>
      <c r="AA981" s="279"/>
      <c r="AB981" s="279"/>
      <c r="AC981" s="279"/>
      <c r="AD981" s="279"/>
      <c r="AE981" s="279"/>
      <c r="AF981" s="279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80"/>
      <c r="AR981" s="280"/>
      <c r="AS981" s="280"/>
      <c r="AT981" s="280"/>
    </row>
    <row r="982" ht="14.2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78"/>
      <c r="U982" s="278"/>
      <c r="V982" s="279"/>
      <c r="W982" s="279"/>
      <c r="X982" s="279"/>
      <c r="Y982" s="279"/>
      <c r="Z982" s="279"/>
      <c r="AA982" s="279"/>
      <c r="AB982" s="279"/>
      <c r="AC982" s="279"/>
      <c r="AD982" s="279"/>
      <c r="AE982" s="279"/>
      <c r="AF982" s="279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80"/>
      <c r="AR982" s="280"/>
      <c r="AS982" s="280"/>
      <c r="AT982" s="280"/>
    </row>
    <row r="983" ht="14.2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78"/>
      <c r="U983" s="278"/>
      <c r="V983" s="279"/>
      <c r="W983" s="279"/>
      <c r="X983" s="279"/>
      <c r="Y983" s="279"/>
      <c r="Z983" s="279"/>
      <c r="AA983" s="279"/>
      <c r="AB983" s="279"/>
      <c r="AC983" s="279"/>
      <c r="AD983" s="279"/>
      <c r="AE983" s="279"/>
      <c r="AF983" s="279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80"/>
      <c r="AR983" s="280"/>
      <c r="AS983" s="280"/>
      <c r="AT983" s="280"/>
    </row>
    <row r="984" ht="14.2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78"/>
      <c r="U984" s="278"/>
      <c r="V984" s="279"/>
      <c r="W984" s="279"/>
      <c r="X984" s="279"/>
      <c r="Y984" s="279"/>
      <c r="Z984" s="279"/>
      <c r="AA984" s="279"/>
      <c r="AB984" s="279"/>
      <c r="AC984" s="279"/>
      <c r="AD984" s="279"/>
      <c r="AE984" s="279"/>
      <c r="AF984" s="279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80"/>
      <c r="AR984" s="280"/>
      <c r="AS984" s="280"/>
      <c r="AT984" s="280"/>
    </row>
    <row r="985" ht="14.2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78"/>
      <c r="U985" s="278"/>
      <c r="V985" s="279"/>
      <c r="W985" s="279"/>
      <c r="X985" s="279"/>
      <c r="Y985" s="279"/>
      <c r="Z985" s="279"/>
      <c r="AA985" s="279"/>
      <c r="AB985" s="279"/>
      <c r="AC985" s="279"/>
      <c r="AD985" s="279"/>
      <c r="AE985" s="279"/>
      <c r="AF985" s="279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80"/>
      <c r="AR985" s="280"/>
      <c r="AS985" s="280"/>
      <c r="AT985" s="280"/>
    </row>
    <row r="986" ht="14.2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78"/>
      <c r="U986" s="278"/>
      <c r="V986" s="279"/>
      <c r="W986" s="279"/>
      <c r="X986" s="279"/>
      <c r="Y986" s="279"/>
      <c r="Z986" s="279"/>
      <c r="AA986" s="279"/>
      <c r="AB986" s="279"/>
      <c r="AC986" s="279"/>
      <c r="AD986" s="279"/>
      <c r="AE986" s="279"/>
      <c r="AF986" s="279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80"/>
      <c r="AR986" s="280"/>
      <c r="AS986" s="280"/>
      <c r="AT986" s="280"/>
    </row>
    <row r="987" ht="14.2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78"/>
      <c r="U987" s="278"/>
      <c r="V987" s="279"/>
      <c r="W987" s="279"/>
      <c r="X987" s="279"/>
      <c r="Y987" s="279"/>
      <c r="Z987" s="279"/>
      <c r="AA987" s="279"/>
      <c r="AB987" s="279"/>
      <c r="AC987" s="279"/>
      <c r="AD987" s="279"/>
      <c r="AE987" s="279"/>
      <c r="AF987" s="279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80"/>
      <c r="AR987" s="280"/>
      <c r="AS987" s="280"/>
      <c r="AT987" s="280"/>
    </row>
    <row r="988" ht="14.2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78"/>
      <c r="U988" s="278"/>
      <c r="V988" s="279"/>
      <c r="W988" s="279"/>
      <c r="X988" s="279"/>
      <c r="Y988" s="279"/>
      <c r="Z988" s="279"/>
      <c r="AA988" s="279"/>
      <c r="AB988" s="279"/>
      <c r="AC988" s="279"/>
      <c r="AD988" s="279"/>
      <c r="AE988" s="279"/>
      <c r="AF988" s="279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80"/>
      <c r="AR988" s="280"/>
      <c r="AS988" s="280"/>
      <c r="AT988" s="280"/>
    </row>
    <row r="989" ht="14.2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78"/>
      <c r="U989" s="278"/>
      <c r="V989" s="279"/>
      <c r="W989" s="279"/>
      <c r="X989" s="279"/>
      <c r="Y989" s="279"/>
      <c r="Z989" s="279"/>
      <c r="AA989" s="279"/>
      <c r="AB989" s="279"/>
      <c r="AC989" s="279"/>
      <c r="AD989" s="279"/>
      <c r="AE989" s="279"/>
      <c r="AF989" s="279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80"/>
      <c r="AR989" s="280"/>
      <c r="AS989" s="280"/>
      <c r="AT989" s="280"/>
    </row>
    <row r="990" ht="14.2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78"/>
      <c r="U990" s="278"/>
      <c r="V990" s="279"/>
      <c r="W990" s="279"/>
      <c r="X990" s="279"/>
      <c r="Y990" s="279"/>
      <c r="Z990" s="279"/>
      <c r="AA990" s="279"/>
      <c r="AB990" s="279"/>
      <c r="AC990" s="279"/>
      <c r="AD990" s="279"/>
      <c r="AE990" s="279"/>
      <c r="AF990" s="279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80"/>
      <c r="AR990" s="280"/>
      <c r="AS990" s="280"/>
      <c r="AT990" s="280"/>
    </row>
    <row r="991" ht="14.2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78"/>
      <c r="U991" s="278"/>
      <c r="V991" s="279"/>
      <c r="W991" s="279"/>
      <c r="X991" s="279"/>
      <c r="Y991" s="279"/>
      <c r="Z991" s="279"/>
      <c r="AA991" s="279"/>
      <c r="AB991" s="279"/>
      <c r="AC991" s="279"/>
      <c r="AD991" s="279"/>
      <c r="AE991" s="279"/>
      <c r="AF991" s="279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80"/>
      <c r="AR991" s="280"/>
      <c r="AS991" s="280"/>
      <c r="AT991" s="280"/>
    </row>
    <row r="992" ht="14.2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78"/>
      <c r="U992" s="278"/>
      <c r="V992" s="279"/>
      <c r="W992" s="279"/>
      <c r="X992" s="279"/>
      <c r="Y992" s="279"/>
      <c r="Z992" s="279"/>
      <c r="AA992" s="279"/>
      <c r="AB992" s="279"/>
      <c r="AC992" s="279"/>
      <c r="AD992" s="279"/>
      <c r="AE992" s="279"/>
      <c r="AF992" s="279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80"/>
      <c r="AR992" s="280"/>
      <c r="AS992" s="280"/>
      <c r="AT992" s="280"/>
    </row>
    <row r="993" ht="14.2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78"/>
      <c r="U993" s="278"/>
      <c r="V993" s="279"/>
      <c r="W993" s="279"/>
      <c r="X993" s="279"/>
      <c r="Y993" s="279"/>
      <c r="Z993" s="279"/>
      <c r="AA993" s="279"/>
      <c r="AB993" s="279"/>
      <c r="AC993" s="279"/>
      <c r="AD993" s="279"/>
      <c r="AE993" s="279"/>
      <c r="AF993" s="279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80"/>
      <c r="AR993" s="280"/>
      <c r="AS993" s="280"/>
      <c r="AT993" s="280"/>
    </row>
    <row r="994" ht="14.2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78"/>
      <c r="U994" s="278"/>
      <c r="V994" s="279"/>
      <c r="W994" s="279"/>
      <c r="X994" s="279"/>
      <c r="Y994" s="279"/>
      <c r="Z994" s="279"/>
      <c r="AA994" s="279"/>
      <c r="AB994" s="279"/>
      <c r="AC994" s="279"/>
      <c r="AD994" s="279"/>
      <c r="AE994" s="279"/>
      <c r="AF994" s="279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80"/>
      <c r="AR994" s="280"/>
      <c r="AS994" s="280"/>
      <c r="AT994" s="280"/>
    </row>
    <row r="995" ht="14.2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78"/>
      <c r="U995" s="278"/>
      <c r="V995" s="279"/>
      <c r="W995" s="279"/>
      <c r="X995" s="279"/>
      <c r="Y995" s="279"/>
      <c r="Z995" s="279"/>
      <c r="AA995" s="279"/>
      <c r="AB995" s="279"/>
      <c r="AC995" s="279"/>
      <c r="AD995" s="279"/>
      <c r="AE995" s="279"/>
      <c r="AF995" s="279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80"/>
      <c r="AR995" s="280"/>
      <c r="AS995" s="280"/>
      <c r="AT995" s="280"/>
    </row>
    <row r="996" ht="14.2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78"/>
      <c r="U996" s="278"/>
      <c r="V996" s="279"/>
      <c r="W996" s="279"/>
      <c r="X996" s="279"/>
      <c r="Y996" s="279"/>
      <c r="Z996" s="279"/>
      <c r="AA996" s="279"/>
      <c r="AB996" s="279"/>
      <c r="AC996" s="279"/>
      <c r="AD996" s="279"/>
      <c r="AE996" s="279"/>
      <c r="AF996" s="279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80"/>
      <c r="AR996" s="280"/>
      <c r="AS996" s="280"/>
      <c r="AT996" s="280"/>
    </row>
    <row r="997" ht="14.2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78"/>
      <c r="U997" s="278"/>
      <c r="V997" s="279"/>
      <c r="W997" s="279"/>
      <c r="X997" s="279"/>
      <c r="Y997" s="279"/>
      <c r="Z997" s="279"/>
      <c r="AA997" s="279"/>
      <c r="AB997" s="279"/>
      <c r="AC997" s="279"/>
      <c r="AD997" s="279"/>
      <c r="AE997" s="279"/>
      <c r="AF997" s="279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80"/>
      <c r="AR997" s="280"/>
      <c r="AS997" s="280"/>
      <c r="AT997" s="280"/>
    </row>
    <row r="998" ht="14.2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78"/>
      <c r="U998" s="278"/>
      <c r="V998" s="279"/>
      <c r="W998" s="279"/>
      <c r="X998" s="279"/>
      <c r="Y998" s="279"/>
      <c r="Z998" s="279"/>
      <c r="AA998" s="279"/>
      <c r="AB998" s="279"/>
      <c r="AC998" s="279"/>
      <c r="AD998" s="279"/>
      <c r="AE998" s="279"/>
      <c r="AF998" s="279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80"/>
      <c r="AR998" s="280"/>
      <c r="AS998" s="280"/>
      <c r="AT998" s="280"/>
    </row>
    <row r="999" ht="14.2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78"/>
      <c r="U999" s="278"/>
      <c r="V999" s="279"/>
      <c r="W999" s="279"/>
      <c r="X999" s="279"/>
      <c r="Y999" s="279"/>
      <c r="Z999" s="279"/>
      <c r="AA999" s="279"/>
      <c r="AB999" s="279"/>
      <c r="AC999" s="279"/>
      <c r="AD999" s="279"/>
      <c r="AE999" s="279"/>
      <c r="AF999" s="279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80"/>
      <c r="AR999" s="280"/>
      <c r="AS999" s="280"/>
      <c r="AT999" s="280"/>
    </row>
    <row r="1000" ht="14.2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78"/>
      <c r="U1000" s="278"/>
      <c r="V1000" s="279"/>
      <c r="W1000" s="279"/>
      <c r="X1000" s="279"/>
      <c r="Y1000" s="279"/>
      <c r="Z1000" s="279"/>
      <c r="AA1000" s="279"/>
      <c r="AB1000" s="279"/>
      <c r="AC1000" s="279"/>
      <c r="AD1000" s="279"/>
      <c r="AE1000" s="279"/>
      <c r="AF1000" s="279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80"/>
      <c r="AR1000" s="280"/>
      <c r="AS1000" s="280"/>
      <c r="AT1000" s="280"/>
    </row>
    <row r="1001" ht="14.2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78"/>
      <c r="U1001" s="278"/>
      <c r="V1001" s="279"/>
      <c r="W1001" s="279"/>
      <c r="X1001" s="279"/>
      <c r="Y1001" s="279"/>
      <c r="Z1001" s="279"/>
      <c r="AA1001" s="279"/>
      <c r="AB1001" s="279"/>
      <c r="AC1001" s="279"/>
      <c r="AD1001" s="279"/>
      <c r="AE1001" s="279"/>
      <c r="AF1001" s="279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80"/>
      <c r="AR1001" s="280"/>
      <c r="AS1001" s="280"/>
      <c r="AT1001" s="280"/>
    </row>
    <row r="1002" ht="14.2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78"/>
      <c r="U1002" s="278"/>
      <c r="V1002" s="279"/>
      <c r="W1002" s="279"/>
      <c r="X1002" s="279"/>
      <c r="Y1002" s="279"/>
      <c r="Z1002" s="279"/>
      <c r="AA1002" s="279"/>
      <c r="AB1002" s="279"/>
      <c r="AC1002" s="279"/>
      <c r="AD1002" s="279"/>
      <c r="AE1002" s="279"/>
      <c r="AF1002" s="279"/>
      <c r="AG1002" s="24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80"/>
      <c r="AR1002" s="280"/>
      <c r="AS1002" s="280"/>
      <c r="AT1002" s="280"/>
    </row>
    <row r="1003" ht="14.2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78"/>
      <c r="U1003" s="278"/>
      <c r="V1003" s="279"/>
      <c r="W1003" s="279"/>
      <c r="X1003" s="279"/>
      <c r="Y1003" s="279"/>
      <c r="Z1003" s="279"/>
      <c r="AA1003" s="279"/>
      <c r="AB1003" s="279"/>
      <c r="AC1003" s="279"/>
      <c r="AD1003" s="279"/>
      <c r="AE1003" s="279"/>
      <c r="AF1003" s="279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80"/>
      <c r="AR1003" s="280"/>
      <c r="AS1003" s="280"/>
      <c r="AT1003" s="280"/>
    </row>
    <row r="1004" ht="14.2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78"/>
      <c r="U1004" s="278"/>
      <c r="V1004" s="279"/>
      <c r="W1004" s="279"/>
      <c r="X1004" s="279"/>
      <c r="Y1004" s="279"/>
      <c r="Z1004" s="279"/>
      <c r="AA1004" s="279"/>
      <c r="AB1004" s="279"/>
      <c r="AC1004" s="279"/>
      <c r="AD1004" s="279"/>
      <c r="AE1004" s="279"/>
      <c r="AF1004" s="279"/>
      <c r="AG1004" s="24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80"/>
      <c r="AR1004" s="280"/>
      <c r="AS1004" s="280"/>
      <c r="AT1004" s="280"/>
    </row>
    <row r="1005" ht="14.2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78"/>
      <c r="U1005" s="278"/>
      <c r="V1005" s="279"/>
      <c r="W1005" s="279"/>
      <c r="X1005" s="279"/>
      <c r="Y1005" s="279"/>
      <c r="Z1005" s="279"/>
      <c r="AA1005" s="279"/>
      <c r="AB1005" s="279"/>
      <c r="AC1005" s="279"/>
      <c r="AD1005" s="279"/>
      <c r="AE1005" s="279"/>
      <c r="AF1005" s="279"/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80"/>
      <c r="AR1005" s="280"/>
      <c r="AS1005" s="280"/>
      <c r="AT1005" s="280"/>
    </row>
    <row r="1006" ht="14.2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78"/>
      <c r="U1006" s="278"/>
      <c r="V1006" s="279"/>
      <c r="W1006" s="279"/>
      <c r="X1006" s="279"/>
      <c r="Y1006" s="279"/>
      <c r="Z1006" s="279"/>
      <c r="AA1006" s="279"/>
      <c r="AB1006" s="279"/>
      <c r="AC1006" s="279"/>
      <c r="AD1006" s="279"/>
      <c r="AE1006" s="279"/>
      <c r="AF1006" s="279"/>
      <c r="AG1006" s="24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80"/>
      <c r="AR1006" s="280"/>
      <c r="AS1006" s="280"/>
      <c r="AT1006" s="280"/>
    </row>
    <row r="1007" ht="14.2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78"/>
      <c r="U1007" s="278"/>
      <c r="V1007" s="279"/>
      <c r="W1007" s="279"/>
      <c r="X1007" s="279"/>
      <c r="Y1007" s="279"/>
      <c r="Z1007" s="279"/>
      <c r="AA1007" s="279"/>
      <c r="AB1007" s="279"/>
      <c r="AC1007" s="279"/>
      <c r="AD1007" s="279"/>
      <c r="AE1007" s="279"/>
      <c r="AF1007" s="279"/>
      <c r="AG1007" s="24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80"/>
      <c r="AR1007" s="280"/>
      <c r="AS1007" s="280"/>
      <c r="AT1007" s="280"/>
    </row>
    <row r="1008" ht="14.25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78"/>
      <c r="U1008" s="278"/>
      <c r="V1008" s="279"/>
      <c r="W1008" s="279"/>
      <c r="X1008" s="279"/>
      <c r="Y1008" s="279"/>
      <c r="Z1008" s="279"/>
      <c r="AA1008" s="279"/>
      <c r="AB1008" s="279"/>
      <c r="AC1008" s="279"/>
      <c r="AD1008" s="279"/>
      <c r="AE1008" s="279"/>
      <c r="AF1008" s="279"/>
      <c r="AG1008" s="24"/>
      <c r="AH1008" s="24"/>
      <c r="AI1008" s="24"/>
      <c r="AJ1008" s="24"/>
      <c r="AK1008" s="24"/>
      <c r="AL1008" s="24"/>
      <c r="AM1008" s="24"/>
      <c r="AN1008" s="24"/>
      <c r="AO1008" s="24"/>
      <c r="AP1008" s="24"/>
      <c r="AQ1008" s="280"/>
      <c r="AR1008" s="280"/>
      <c r="AS1008" s="280"/>
      <c r="AT1008" s="280"/>
    </row>
  </sheetData>
  <mergeCells count="1">
    <mergeCell ref="N77:S9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2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2"/>
  <cols>
    <col customWidth="1" min="1" max="26" width="8.63"/>
  </cols>
  <sheetData>
    <row r="1" ht="14.25" customHeight="1">
      <c r="A1" s="98" t="s">
        <v>274</v>
      </c>
    </row>
    <row r="2" ht="14.25" customHeight="1">
      <c r="A2" s="99" t="s">
        <v>279</v>
      </c>
    </row>
    <row r="3" ht="14.25" customHeight="1">
      <c r="A3" s="100" t="s">
        <v>280</v>
      </c>
    </row>
    <row r="4" ht="14.25" customHeight="1">
      <c r="A4" s="20" t="s">
        <v>281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2"/>
  <cols>
    <col customWidth="1" min="1" max="26" width="8.63"/>
  </cols>
  <sheetData>
    <row r="1" ht="14.25" customHeight="1">
      <c r="A1" s="20" t="s">
        <v>294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2"/>
  <cols>
    <col customWidth="1" min="1" max="1" width="39.88"/>
    <col customWidth="1" min="2" max="2" width="11.5"/>
    <col customWidth="1" min="3" max="13" width="10.13"/>
    <col customWidth="1" min="14" max="14" width="0.63"/>
    <col customWidth="1" min="15" max="15" width="10.13"/>
    <col customWidth="1" min="16" max="16" width="11.13"/>
    <col customWidth="1" min="17" max="18" width="10.13"/>
    <col customWidth="1" min="19" max="19" width="11.13"/>
    <col customWidth="1" min="20" max="43" width="8.63"/>
  </cols>
  <sheetData>
    <row r="1" ht="14.25" customHeight="1">
      <c r="A1" s="144" t="s">
        <v>355</v>
      </c>
      <c r="B1" s="145" t="s">
        <v>413</v>
      </c>
      <c r="C1" s="145" t="s">
        <v>416</v>
      </c>
      <c r="D1" s="145" t="s">
        <v>417</v>
      </c>
      <c r="E1" s="145" t="s">
        <v>418</v>
      </c>
      <c r="F1" s="145" t="s">
        <v>419</v>
      </c>
      <c r="G1" s="145" t="s">
        <v>420</v>
      </c>
      <c r="H1" s="145" t="s">
        <v>421</v>
      </c>
      <c r="I1" s="145" t="s">
        <v>422</v>
      </c>
      <c r="J1" s="145" t="s">
        <v>423</v>
      </c>
      <c r="K1" s="145" t="s">
        <v>424</v>
      </c>
      <c r="L1" s="145" t="s">
        <v>425</v>
      </c>
      <c r="M1" s="145" t="s">
        <v>427</v>
      </c>
      <c r="O1" s="146" t="s">
        <v>428</v>
      </c>
      <c r="P1" s="146" t="s">
        <v>429</v>
      </c>
      <c r="Q1" s="146" t="s">
        <v>430</v>
      </c>
      <c r="R1" s="146" t="s">
        <v>431</v>
      </c>
      <c r="S1" s="144" t="s">
        <v>432</v>
      </c>
    </row>
    <row r="2" ht="14.25" customHeight="1">
      <c r="A2" s="147" t="s">
        <v>376</v>
      </c>
      <c r="B2" s="149">
        <v>2002000.0</v>
      </c>
      <c r="C2" s="149">
        <v>1978000.0</v>
      </c>
      <c r="D2" s="149">
        <v>2026024.0</v>
      </c>
      <c r="E2" s="149">
        <v>2040206.0</v>
      </c>
      <c r="F2" s="149">
        <v>2064689.0</v>
      </c>
      <c r="G2" s="149">
        <v>2081206.0</v>
      </c>
      <c r="H2" s="149">
        <v>2072881.0</v>
      </c>
      <c r="I2" s="149">
        <v>2124703.0</v>
      </c>
      <c r="J2" s="149">
        <v>2145950.0</v>
      </c>
      <c r="K2" s="149">
        <v>2171702.0</v>
      </c>
      <c r="L2" s="149">
        <v>2193419.0</v>
      </c>
      <c r="M2" s="149">
        <v>2164904.0</v>
      </c>
      <c r="O2" s="149">
        <f t="shared" ref="O2:O11" si="1">SUM(B2:D2)</f>
        <v>6006024</v>
      </c>
      <c r="P2" s="149">
        <f t="shared" ref="P2:P11" si="2">SUM(E2:G2)</f>
        <v>6186101</v>
      </c>
      <c r="Q2" s="149">
        <f t="shared" ref="Q2:Q11" si="3">SUM(H2:J2)</f>
        <v>6343534</v>
      </c>
      <c r="R2" s="149">
        <f t="shared" ref="R2:R11" si="4">SUM(K2:M2)</f>
        <v>6530025</v>
      </c>
      <c r="S2" s="149">
        <f t="shared" ref="S2:S11" si="5">SUM(B2:M2)</f>
        <v>25065684</v>
      </c>
    </row>
    <row r="3" ht="14.25" hidden="1" customHeight="1">
      <c r="A3" s="20" t="s">
        <v>446</v>
      </c>
      <c r="C3" s="20" t="s">
        <v>447</v>
      </c>
      <c r="E3" s="20" t="s">
        <v>448</v>
      </c>
      <c r="F3" s="20" t="s">
        <v>449</v>
      </c>
      <c r="H3" s="20" t="s">
        <v>194</v>
      </c>
      <c r="I3" s="20" t="s">
        <v>450</v>
      </c>
      <c r="M3" s="20" t="s">
        <v>194</v>
      </c>
      <c r="O3" s="20">
        <f t="shared" si="1"/>
        <v>0</v>
      </c>
      <c r="P3" s="20">
        <f t="shared" si="2"/>
        <v>0</v>
      </c>
      <c r="Q3" s="20">
        <f t="shared" si="3"/>
        <v>0</v>
      </c>
      <c r="R3" s="20">
        <f t="shared" si="4"/>
        <v>0</v>
      </c>
      <c r="S3" s="149">
        <f t="shared" si="5"/>
        <v>0</v>
      </c>
    </row>
    <row r="4" ht="14.25" customHeight="1">
      <c r="A4" s="154" t="s">
        <v>452</v>
      </c>
      <c r="B4" s="155">
        <f t="shared" ref="B4:M4" si="6">B2*7%</f>
        <v>140140</v>
      </c>
      <c r="C4" s="155">
        <f t="shared" si="6"/>
        <v>138460</v>
      </c>
      <c r="D4" s="155">
        <f t="shared" si="6"/>
        <v>141821.68</v>
      </c>
      <c r="E4" s="155">
        <f t="shared" si="6"/>
        <v>142814.42</v>
      </c>
      <c r="F4" s="155">
        <f t="shared" si="6"/>
        <v>144528.23</v>
      </c>
      <c r="G4" s="155">
        <f t="shared" si="6"/>
        <v>145684.42</v>
      </c>
      <c r="H4" s="155">
        <f t="shared" si="6"/>
        <v>145101.67</v>
      </c>
      <c r="I4" s="155">
        <f t="shared" si="6"/>
        <v>148729.21</v>
      </c>
      <c r="J4" s="155">
        <f t="shared" si="6"/>
        <v>150216.5</v>
      </c>
      <c r="K4" s="155">
        <f t="shared" si="6"/>
        <v>152019.14</v>
      </c>
      <c r="L4" s="155">
        <f t="shared" si="6"/>
        <v>153539.33</v>
      </c>
      <c r="M4" s="155">
        <f t="shared" si="6"/>
        <v>151543.28</v>
      </c>
      <c r="O4" s="155">
        <f t="shared" si="1"/>
        <v>420421.68</v>
      </c>
      <c r="P4" s="155">
        <f t="shared" si="2"/>
        <v>433027.07</v>
      </c>
      <c r="Q4" s="155">
        <f t="shared" si="3"/>
        <v>444047.38</v>
      </c>
      <c r="R4" s="155">
        <f t="shared" si="4"/>
        <v>457101.75</v>
      </c>
      <c r="S4" s="155">
        <f t="shared" si="5"/>
        <v>1754597.88</v>
      </c>
    </row>
    <row r="5" ht="14.25" customHeight="1">
      <c r="A5" s="147" t="s">
        <v>53</v>
      </c>
      <c r="B5" s="149">
        <f t="shared" ref="B5:M5" si="7">B2-B4</f>
        <v>1861860</v>
      </c>
      <c r="C5" s="149">
        <f t="shared" si="7"/>
        <v>1839540</v>
      </c>
      <c r="D5" s="149">
        <f t="shared" si="7"/>
        <v>1884202.32</v>
      </c>
      <c r="E5" s="149">
        <f t="shared" si="7"/>
        <v>1897391.58</v>
      </c>
      <c r="F5" s="149">
        <f t="shared" si="7"/>
        <v>1920160.77</v>
      </c>
      <c r="G5" s="149">
        <f t="shared" si="7"/>
        <v>1935521.58</v>
      </c>
      <c r="H5" s="149">
        <f t="shared" si="7"/>
        <v>1927779.33</v>
      </c>
      <c r="I5" s="149">
        <f t="shared" si="7"/>
        <v>1975973.79</v>
      </c>
      <c r="J5" s="149">
        <f t="shared" si="7"/>
        <v>1995733.5</v>
      </c>
      <c r="K5" s="149">
        <f t="shared" si="7"/>
        <v>2019682.86</v>
      </c>
      <c r="L5" s="149">
        <f t="shared" si="7"/>
        <v>2039879.67</v>
      </c>
      <c r="M5" s="149">
        <f t="shared" si="7"/>
        <v>2013360.72</v>
      </c>
      <c r="O5" s="149">
        <f t="shared" si="1"/>
        <v>5585602.32</v>
      </c>
      <c r="P5" s="149">
        <f t="shared" si="2"/>
        <v>5753073.93</v>
      </c>
      <c r="Q5" s="149">
        <f t="shared" si="3"/>
        <v>5899486.62</v>
      </c>
      <c r="R5" s="149">
        <f t="shared" si="4"/>
        <v>6072923.25</v>
      </c>
      <c r="S5" s="149">
        <f t="shared" si="5"/>
        <v>23311086.12</v>
      </c>
    </row>
    <row r="6" ht="14.25" customHeight="1">
      <c r="A6" s="154" t="s">
        <v>471</v>
      </c>
      <c r="B6" s="155">
        <f t="shared" ref="B6:M6" si="8">B5*38%</f>
        <v>707506.8</v>
      </c>
      <c r="C6" s="155">
        <f t="shared" si="8"/>
        <v>699025.2</v>
      </c>
      <c r="D6" s="155">
        <f t="shared" si="8"/>
        <v>715996.8816</v>
      </c>
      <c r="E6" s="155">
        <f t="shared" si="8"/>
        <v>721008.8004</v>
      </c>
      <c r="F6" s="155">
        <f t="shared" si="8"/>
        <v>729661.0926</v>
      </c>
      <c r="G6" s="155">
        <f t="shared" si="8"/>
        <v>735498.2004</v>
      </c>
      <c r="H6" s="155">
        <f t="shared" si="8"/>
        <v>732556.1454</v>
      </c>
      <c r="I6" s="155">
        <f t="shared" si="8"/>
        <v>750870.0402</v>
      </c>
      <c r="J6" s="155">
        <f t="shared" si="8"/>
        <v>758378.73</v>
      </c>
      <c r="K6" s="155">
        <f t="shared" si="8"/>
        <v>767479.4868</v>
      </c>
      <c r="L6" s="155">
        <f t="shared" si="8"/>
        <v>775154.2746</v>
      </c>
      <c r="M6" s="155">
        <f t="shared" si="8"/>
        <v>765077.0736</v>
      </c>
      <c r="O6" s="155">
        <f t="shared" si="1"/>
        <v>2122528.882</v>
      </c>
      <c r="P6" s="155">
        <f t="shared" si="2"/>
        <v>2186168.093</v>
      </c>
      <c r="Q6" s="155">
        <f t="shared" si="3"/>
        <v>2241804.916</v>
      </c>
      <c r="R6" s="155">
        <f t="shared" si="4"/>
        <v>2307710.835</v>
      </c>
      <c r="S6" s="155">
        <f t="shared" si="5"/>
        <v>8858212.726</v>
      </c>
    </row>
    <row r="7" ht="14.25" customHeight="1">
      <c r="A7" s="147" t="s">
        <v>66</v>
      </c>
      <c r="B7" s="149">
        <f t="shared" ref="B7:M7" si="9">B5-B6</f>
        <v>1154353.2</v>
      </c>
      <c r="C7" s="149">
        <f t="shared" si="9"/>
        <v>1140514.8</v>
      </c>
      <c r="D7" s="149">
        <f t="shared" si="9"/>
        <v>1168205.438</v>
      </c>
      <c r="E7" s="149">
        <f t="shared" si="9"/>
        <v>1176382.78</v>
      </c>
      <c r="F7" s="149">
        <f t="shared" si="9"/>
        <v>1190499.677</v>
      </c>
      <c r="G7" s="149">
        <f t="shared" si="9"/>
        <v>1200023.38</v>
      </c>
      <c r="H7" s="149">
        <f t="shared" si="9"/>
        <v>1195223.185</v>
      </c>
      <c r="I7" s="149">
        <f t="shared" si="9"/>
        <v>1225103.75</v>
      </c>
      <c r="J7" s="149">
        <f t="shared" si="9"/>
        <v>1237354.77</v>
      </c>
      <c r="K7" s="149">
        <f t="shared" si="9"/>
        <v>1252203.373</v>
      </c>
      <c r="L7" s="149">
        <f t="shared" si="9"/>
        <v>1264725.395</v>
      </c>
      <c r="M7" s="149">
        <f t="shared" si="9"/>
        <v>1248283.646</v>
      </c>
      <c r="O7" s="149">
        <f t="shared" si="1"/>
        <v>3463073.438</v>
      </c>
      <c r="P7" s="149">
        <f t="shared" si="2"/>
        <v>3566905.837</v>
      </c>
      <c r="Q7" s="149">
        <f t="shared" si="3"/>
        <v>3657681.704</v>
      </c>
      <c r="R7" s="149">
        <f t="shared" si="4"/>
        <v>3765212.415</v>
      </c>
      <c r="S7" s="149">
        <f t="shared" si="5"/>
        <v>14452873.39</v>
      </c>
    </row>
    <row r="8" ht="14.25" customHeight="1">
      <c r="A8" s="154" t="s">
        <v>63</v>
      </c>
      <c r="B8" s="155">
        <f t="shared" ref="B8:M8" si="10">B5*32%</f>
        <v>595795.2</v>
      </c>
      <c r="C8" s="155">
        <f t="shared" si="10"/>
        <v>588652.8</v>
      </c>
      <c r="D8" s="155">
        <f t="shared" si="10"/>
        <v>602944.7424</v>
      </c>
      <c r="E8" s="155">
        <f t="shared" si="10"/>
        <v>607165.3056</v>
      </c>
      <c r="F8" s="155">
        <f t="shared" si="10"/>
        <v>614451.4464</v>
      </c>
      <c r="G8" s="155">
        <f t="shared" si="10"/>
        <v>619366.9056</v>
      </c>
      <c r="H8" s="155">
        <f t="shared" si="10"/>
        <v>616889.3856</v>
      </c>
      <c r="I8" s="155">
        <f t="shared" si="10"/>
        <v>632311.6128</v>
      </c>
      <c r="J8" s="155">
        <f t="shared" si="10"/>
        <v>638634.72</v>
      </c>
      <c r="K8" s="155">
        <f t="shared" si="10"/>
        <v>646298.5152</v>
      </c>
      <c r="L8" s="155">
        <f t="shared" si="10"/>
        <v>652761.4944</v>
      </c>
      <c r="M8" s="155">
        <f t="shared" si="10"/>
        <v>644275.4304</v>
      </c>
      <c r="O8" s="155">
        <f t="shared" si="1"/>
        <v>1787392.742</v>
      </c>
      <c r="P8" s="155">
        <f t="shared" si="2"/>
        <v>1840983.658</v>
      </c>
      <c r="Q8" s="155">
        <f t="shared" si="3"/>
        <v>1887835.718</v>
      </c>
      <c r="R8" s="155">
        <f t="shared" si="4"/>
        <v>1943335.44</v>
      </c>
      <c r="S8" s="155">
        <f t="shared" si="5"/>
        <v>7459547.558</v>
      </c>
    </row>
    <row r="9" ht="14.25" customHeight="1">
      <c r="A9" s="147" t="s">
        <v>490</v>
      </c>
      <c r="B9" s="149">
        <f t="shared" ref="B9:M9" si="11">B2*7%</f>
        <v>140140</v>
      </c>
      <c r="C9" s="149">
        <f t="shared" si="11"/>
        <v>138460</v>
      </c>
      <c r="D9" s="149">
        <f t="shared" si="11"/>
        <v>141821.68</v>
      </c>
      <c r="E9" s="149">
        <f t="shared" si="11"/>
        <v>142814.42</v>
      </c>
      <c r="F9" s="149">
        <f t="shared" si="11"/>
        <v>144528.23</v>
      </c>
      <c r="G9" s="149">
        <f t="shared" si="11"/>
        <v>145684.42</v>
      </c>
      <c r="H9" s="149">
        <f t="shared" si="11"/>
        <v>145101.67</v>
      </c>
      <c r="I9" s="149">
        <f t="shared" si="11"/>
        <v>148729.21</v>
      </c>
      <c r="J9" s="149">
        <f t="shared" si="11"/>
        <v>150216.5</v>
      </c>
      <c r="K9" s="149">
        <f t="shared" si="11"/>
        <v>152019.14</v>
      </c>
      <c r="L9" s="149">
        <f t="shared" si="11"/>
        <v>153539.33</v>
      </c>
      <c r="M9" s="149">
        <f t="shared" si="11"/>
        <v>151543.28</v>
      </c>
      <c r="O9" s="149">
        <f t="shared" si="1"/>
        <v>420421.68</v>
      </c>
      <c r="P9" s="149">
        <f t="shared" si="2"/>
        <v>433027.07</v>
      </c>
      <c r="Q9" s="149">
        <f t="shared" si="3"/>
        <v>444047.38</v>
      </c>
      <c r="R9" s="149">
        <f t="shared" si="4"/>
        <v>457101.75</v>
      </c>
      <c r="S9" s="149">
        <f t="shared" si="5"/>
        <v>1754597.88</v>
      </c>
    </row>
    <row r="10" ht="14.25" customHeight="1">
      <c r="A10" s="154" t="s">
        <v>78</v>
      </c>
      <c r="B10" s="155">
        <f t="shared" ref="B10:M10" si="12">B7-B8</f>
        <v>558558</v>
      </c>
      <c r="C10" s="155">
        <f t="shared" si="12"/>
        <v>551862</v>
      </c>
      <c r="D10" s="155">
        <f t="shared" si="12"/>
        <v>565260.696</v>
      </c>
      <c r="E10" s="155">
        <f t="shared" si="12"/>
        <v>569217.474</v>
      </c>
      <c r="F10" s="155">
        <f t="shared" si="12"/>
        <v>576048.231</v>
      </c>
      <c r="G10" s="155">
        <f t="shared" si="12"/>
        <v>580656.474</v>
      </c>
      <c r="H10" s="155">
        <f t="shared" si="12"/>
        <v>578333.799</v>
      </c>
      <c r="I10" s="155">
        <f t="shared" si="12"/>
        <v>592792.137</v>
      </c>
      <c r="J10" s="155">
        <f t="shared" si="12"/>
        <v>598720.05</v>
      </c>
      <c r="K10" s="155">
        <f t="shared" si="12"/>
        <v>605904.858</v>
      </c>
      <c r="L10" s="155">
        <f t="shared" si="12"/>
        <v>611963.901</v>
      </c>
      <c r="M10" s="155">
        <f t="shared" si="12"/>
        <v>604008.216</v>
      </c>
      <c r="O10" s="155">
        <f t="shared" si="1"/>
        <v>1675680.696</v>
      </c>
      <c r="P10" s="155">
        <f t="shared" si="2"/>
        <v>1725922.179</v>
      </c>
      <c r="Q10" s="155">
        <f t="shared" si="3"/>
        <v>1769845.986</v>
      </c>
      <c r="R10" s="155">
        <f t="shared" si="4"/>
        <v>1821876.975</v>
      </c>
      <c r="S10" s="155">
        <f t="shared" si="5"/>
        <v>6993325.836</v>
      </c>
    </row>
    <row r="11" ht="14.25" customHeight="1">
      <c r="A11" s="147" t="s">
        <v>498</v>
      </c>
      <c r="B11" s="149">
        <f t="shared" ref="B11:M11" si="13">B10-B9</f>
        <v>418418</v>
      </c>
      <c r="C11" s="149">
        <f t="shared" si="13"/>
        <v>413402</v>
      </c>
      <c r="D11" s="149">
        <f t="shared" si="13"/>
        <v>423439.016</v>
      </c>
      <c r="E11" s="149">
        <f t="shared" si="13"/>
        <v>426403.054</v>
      </c>
      <c r="F11" s="149">
        <f t="shared" si="13"/>
        <v>431520.001</v>
      </c>
      <c r="G11" s="149">
        <f t="shared" si="13"/>
        <v>434972.054</v>
      </c>
      <c r="H11" s="149">
        <f t="shared" si="13"/>
        <v>433232.129</v>
      </c>
      <c r="I11" s="149">
        <f t="shared" si="13"/>
        <v>444062.927</v>
      </c>
      <c r="J11" s="149">
        <f t="shared" si="13"/>
        <v>448503.55</v>
      </c>
      <c r="K11" s="149">
        <f t="shared" si="13"/>
        <v>453885.718</v>
      </c>
      <c r="L11" s="149">
        <f t="shared" si="13"/>
        <v>458424.571</v>
      </c>
      <c r="M11" s="149">
        <f t="shared" si="13"/>
        <v>452464.936</v>
      </c>
      <c r="O11" s="149">
        <f t="shared" si="1"/>
        <v>1255259.016</v>
      </c>
      <c r="P11" s="149">
        <f t="shared" si="2"/>
        <v>1292895.109</v>
      </c>
      <c r="Q11" s="149">
        <f t="shared" si="3"/>
        <v>1325798.606</v>
      </c>
      <c r="R11" s="149">
        <f t="shared" si="4"/>
        <v>1364775.225</v>
      </c>
      <c r="S11" s="149">
        <f t="shared" si="5"/>
        <v>5238727.956</v>
      </c>
    </row>
    <row r="12" ht="14.25" customHeight="1">
      <c r="O12" s="54"/>
      <c r="P12" s="54"/>
      <c r="Q12" s="54"/>
      <c r="R12" s="54"/>
    </row>
    <row r="13" ht="14.25" customHeight="1">
      <c r="A13" s="183" t="s">
        <v>355</v>
      </c>
      <c r="B13" s="184" t="s">
        <v>4</v>
      </c>
      <c r="C13" s="184" t="s">
        <v>6</v>
      </c>
      <c r="D13" s="184" t="s">
        <v>7</v>
      </c>
      <c r="E13" s="184" t="s">
        <v>9</v>
      </c>
      <c r="F13" s="184" t="s">
        <v>10</v>
      </c>
      <c r="G13" s="184" t="s">
        <v>12</v>
      </c>
      <c r="H13" s="184" t="s">
        <v>14</v>
      </c>
      <c r="I13" s="184" t="s">
        <v>16</v>
      </c>
      <c r="J13" s="184" t="s">
        <v>18</v>
      </c>
      <c r="K13" s="184" t="s">
        <v>19</v>
      </c>
      <c r="L13" s="184" t="s">
        <v>20</v>
      </c>
      <c r="M13" s="184" t="s">
        <v>21</v>
      </c>
      <c r="O13" s="146" t="s">
        <v>428</v>
      </c>
      <c r="P13" s="146" t="s">
        <v>429</v>
      </c>
      <c r="Q13" s="146" t="s">
        <v>430</v>
      </c>
      <c r="R13" s="146" t="s">
        <v>431</v>
      </c>
      <c r="S13" s="184" t="s">
        <v>30</v>
      </c>
    </row>
    <row r="14" ht="14.25" customHeight="1">
      <c r="A14" s="186" t="s">
        <v>411</v>
      </c>
      <c r="B14" s="188">
        <f t="shared" ref="B14:M14" si="14">B11/B5</f>
        <v>0.2247311828</v>
      </c>
      <c r="C14" s="188">
        <f t="shared" si="14"/>
        <v>0.2247311828</v>
      </c>
      <c r="D14" s="188">
        <f t="shared" si="14"/>
        <v>0.2247311828</v>
      </c>
      <c r="E14" s="188">
        <f t="shared" si="14"/>
        <v>0.2247311828</v>
      </c>
      <c r="F14" s="188">
        <f t="shared" si="14"/>
        <v>0.2247311828</v>
      </c>
      <c r="G14" s="188">
        <f t="shared" si="14"/>
        <v>0.2247311828</v>
      </c>
      <c r="H14" s="188">
        <f t="shared" si="14"/>
        <v>0.2247311828</v>
      </c>
      <c r="I14" s="188">
        <f t="shared" si="14"/>
        <v>0.2247311828</v>
      </c>
      <c r="J14" s="188">
        <f t="shared" si="14"/>
        <v>0.2247311828</v>
      </c>
      <c r="K14" s="188">
        <f t="shared" si="14"/>
        <v>0.2247311828</v>
      </c>
      <c r="L14" s="188">
        <f t="shared" si="14"/>
        <v>0.2247311828</v>
      </c>
      <c r="M14" s="188">
        <f t="shared" si="14"/>
        <v>0.2247311828</v>
      </c>
      <c r="O14" s="191">
        <f>SUM(B14:D14)/3</f>
        <v>0.2247311828</v>
      </c>
      <c r="P14" s="191">
        <f>SUM(E14:G14)/3</f>
        <v>0.2247311828</v>
      </c>
      <c r="Q14" s="191">
        <f>SUM(H14:J14)/3</f>
        <v>0.2247311828</v>
      </c>
      <c r="R14" s="191">
        <f>SUM(K14:M14)/3</f>
        <v>0.2247311828</v>
      </c>
      <c r="S14" s="191">
        <f>S11/S5</f>
        <v>0.2247311828</v>
      </c>
    </row>
    <row r="15" ht="14.25" customHeight="1">
      <c r="A15" s="193" t="s">
        <v>151</v>
      </c>
      <c r="B15" s="194">
        <f t="shared" ref="B15:M15" si="15">B11+B9+45000</f>
        <v>603558</v>
      </c>
      <c r="C15" s="194">
        <f t="shared" si="15"/>
        <v>596862</v>
      </c>
      <c r="D15" s="194">
        <f t="shared" si="15"/>
        <v>610260.696</v>
      </c>
      <c r="E15" s="194">
        <f t="shared" si="15"/>
        <v>614217.474</v>
      </c>
      <c r="F15" s="194">
        <f t="shared" si="15"/>
        <v>621048.231</v>
      </c>
      <c r="G15" s="194">
        <f t="shared" si="15"/>
        <v>625656.474</v>
      </c>
      <c r="H15" s="194">
        <f t="shared" si="15"/>
        <v>623333.799</v>
      </c>
      <c r="I15" s="194">
        <f t="shared" si="15"/>
        <v>637792.137</v>
      </c>
      <c r="J15" s="194">
        <f t="shared" si="15"/>
        <v>643720.05</v>
      </c>
      <c r="K15" s="194">
        <f t="shared" si="15"/>
        <v>650904.858</v>
      </c>
      <c r="L15" s="194">
        <f t="shared" si="15"/>
        <v>656963.901</v>
      </c>
      <c r="M15" s="194">
        <f t="shared" si="15"/>
        <v>649008.216</v>
      </c>
      <c r="O15" s="194">
        <f>SUM(B15:D15)</f>
        <v>1810680.696</v>
      </c>
      <c r="P15" s="194">
        <f>SUM(E15:G15)</f>
        <v>1860922.179</v>
      </c>
      <c r="Q15" s="194">
        <f>SUM(H15:J15)</f>
        <v>1904845.986</v>
      </c>
      <c r="R15" s="194">
        <f>SUM(K15:M15)</f>
        <v>1956876.975</v>
      </c>
      <c r="S15" s="194">
        <f>S11+S9+(45000*12)</f>
        <v>7533325.836</v>
      </c>
    </row>
    <row r="16" ht="14.25" customHeight="1">
      <c r="A16" s="186" t="s">
        <v>437</v>
      </c>
      <c r="B16" s="188">
        <f t="shared" ref="B16:M16" si="16">B15/B5</f>
        <v>0.324169379</v>
      </c>
      <c r="C16" s="188">
        <f t="shared" si="16"/>
        <v>0.3244626374</v>
      </c>
      <c r="D16" s="188">
        <f t="shared" si="16"/>
        <v>0.3238827856</v>
      </c>
      <c r="E16" s="188">
        <f t="shared" si="16"/>
        <v>0.3237167702</v>
      </c>
      <c r="F16" s="188">
        <f t="shared" si="16"/>
        <v>0.3234355376</v>
      </c>
      <c r="G16" s="188">
        <f t="shared" si="16"/>
        <v>0.323249547</v>
      </c>
      <c r="H16" s="188">
        <f t="shared" si="16"/>
        <v>0.3233429207</v>
      </c>
      <c r="I16" s="188">
        <f t="shared" si="16"/>
        <v>0.3227735814</v>
      </c>
      <c r="J16" s="188">
        <f t="shared" si="16"/>
        <v>0.3225481007</v>
      </c>
      <c r="K16" s="188">
        <f t="shared" si="16"/>
        <v>0.3222807258</v>
      </c>
      <c r="L16" s="188">
        <f t="shared" si="16"/>
        <v>0.3220601248</v>
      </c>
      <c r="M16" s="188">
        <f t="shared" si="16"/>
        <v>0.3223506893</v>
      </c>
      <c r="O16" s="191">
        <f t="shared" ref="O16:R16" si="17">SUM(B16:D16)/3</f>
        <v>0.3241716007</v>
      </c>
      <c r="P16" s="191">
        <f t="shared" si="17"/>
        <v>0.324020731</v>
      </c>
      <c r="Q16" s="191">
        <f t="shared" si="17"/>
        <v>0.3236783645</v>
      </c>
      <c r="R16" s="191">
        <f t="shared" si="17"/>
        <v>0.3234672849</v>
      </c>
      <c r="S16" s="191">
        <f>S15/S5</f>
        <v>0.3231649438</v>
      </c>
    </row>
    <row r="17" ht="14.25" customHeight="1">
      <c r="A17" s="193" t="s">
        <v>122</v>
      </c>
      <c r="B17" s="198">
        <f t="shared" ref="B17:M17" si="18">B8/B5</f>
        <v>0.32</v>
      </c>
      <c r="C17" s="198">
        <f t="shared" si="18"/>
        <v>0.32</v>
      </c>
      <c r="D17" s="198">
        <f t="shared" si="18"/>
        <v>0.32</v>
      </c>
      <c r="E17" s="198">
        <f t="shared" si="18"/>
        <v>0.32</v>
      </c>
      <c r="F17" s="198">
        <f t="shared" si="18"/>
        <v>0.32</v>
      </c>
      <c r="G17" s="198">
        <f t="shared" si="18"/>
        <v>0.32</v>
      </c>
      <c r="H17" s="198">
        <f t="shared" si="18"/>
        <v>0.32</v>
      </c>
      <c r="I17" s="198">
        <f t="shared" si="18"/>
        <v>0.32</v>
      </c>
      <c r="J17" s="198">
        <f t="shared" si="18"/>
        <v>0.32</v>
      </c>
      <c r="K17" s="198">
        <f t="shared" si="18"/>
        <v>0.32</v>
      </c>
      <c r="L17" s="198">
        <f t="shared" si="18"/>
        <v>0.32</v>
      </c>
      <c r="M17" s="198">
        <f t="shared" si="18"/>
        <v>0.32</v>
      </c>
      <c r="O17" s="202">
        <f t="shared" ref="O17:R17" si="19">SUM(B17:D17)/3</f>
        <v>0.32</v>
      </c>
      <c r="P17" s="202">
        <f t="shared" si="19"/>
        <v>0.32</v>
      </c>
      <c r="Q17" s="202">
        <f t="shared" si="19"/>
        <v>0.32</v>
      </c>
      <c r="R17" s="202">
        <f t="shared" si="19"/>
        <v>0.32</v>
      </c>
      <c r="S17" s="202">
        <f>S8/S5</f>
        <v>0.32</v>
      </c>
    </row>
    <row r="18" ht="14.25" customHeight="1">
      <c r="A18" s="186" t="s">
        <v>455</v>
      </c>
      <c r="B18" s="188">
        <f t="shared" ref="B18:M18" si="20">B7/B5</f>
        <v>0.62</v>
      </c>
      <c r="C18" s="188">
        <f t="shared" si="20"/>
        <v>0.62</v>
      </c>
      <c r="D18" s="188">
        <f t="shared" si="20"/>
        <v>0.62</v>
      </c>
      <c r="E18" s="188">
        <f t="shared" si="20"/>
        <v>0.62</v>
      </c>
      <c r="F18" s="188">
        <f t="shared" si="20"/>
        <v>0.62</v>
      </c>
      <c r="G18" s="188">
        <f t="shared" si="20"/>
        <v>0.62</v>
      </c>
      <c r="H18" s="188">
        <f t="shared" si="20"/>
        <v>0.62</v>
      </c>
      <c r="I18" s="188">
        <f t="shared" si="20"/>
        <v>0.62</v>
      </c>
      <c r="J18" s="188">
        <f t="shared" si="20"/>
        <v>0.62</v>
      </c>
      <c r="K18" s="188">
        <f t="shared" si="20"/>
        <v>0.62</v>
      </c>
      <c r="L18" s="188">
        <f t="shared" si="20"/>
        <v>0.62</v>
      </c>
      <c r="M18" s="188">
        <f t="shared" si="20"/>
        <v>0.62</v>
      </c>
      <c r="O18" s="191">
        <f t="shared" ref="O18:R18" si="21">SUM(B18:D18)/3</f>
        <v>0.62</v>
      </c>
      <c r="P18" s="191">
        <f t="shared" si="21"/>
        <v>0.62</v>
      </c>
      <c r="Q18" s="191">
        <f t="shared" si="21"/>
        <v>0.62</v>
      </c>
      <c r="R18" s="191">
        <f t="shared" si="21"/>
        <v>0.62</v>
      </c>
      <c r="S18" s="188">
        <f>S7/S5</f>
        <v>0.62</v>
      </c>
    </row>
    <row r="19" ht="14.25" customHeight="1"/>
    <row r="20" ht="14.25" customHeight="1">
      <c r="A20" s="146" t="s">
        <v>525</v>
      </c>
      <c r="B20" s="146" t="s">
        <v>428</v>
      </c>
      <c r="C20" s="146" t="s">
        <v>429</v>
      </c>
      <c r="D20" s="146" t="s">
        <v>430</v>
      </c>
      <c r="E20" s="146" t="s">
        <v>431</v>
      </c>
      <c r="F20" s="146" t="s">
        <v>30</v>
      </c>
      <c r="S20" s="54">
        <f>S6+S8</f>
        <v>16317760.28</v>
      </c>
    </row>
    <row r="21" ht="14.25" customHeight="1">
      <c r="A21" s="186" t="s">
        <v>99</v>
      </c>
      <c r="B21" s="149">
        <v>1250656.0</v>
      </c>
      <c r="C21" s="149">
        <v>1354091.0</v>
      </c>
      <c r="D21" s="149">
        <v>1432965.0</v>
      </c>
      <c r="E21" s="149">
        <v>1500836.0</v>
      </c>
      <c r="F21" s="149">
        <f t="shared" ref="F21:F32" si="22">SUM(B21:E21)</f>
        <v>5538548</v>
      </c>
      <c r="S21" s="54">
        <f>S20/12</f>
        <v>1359813.357</v>
      </c>
    </row>
    <row r="22" ht="14.25" customHeight="1">
      <c r="A22" s="193" t="s">
        <v>528</v>
      </c>
      <c r="B22" s="155">
        <v>166954.0</v>
      </c>
      <c r="C22" s="155">
        <v>180761.0</v>
      </c>
      <c r="D22" s="155">
        <v>191291.0</v>
      </c>
      <c r="E22" s="155">
        <v>200351.0</v>
      </c>
      <c r="F22" s="155">
        <f t="shared" si="22"/>
        <v>739357</v>
      </c>
    </row>
    <row r="23" ht="14.25" customHeight="1">
      <c r="A23" s="186" t="s">
        <v>529</v>
      </c>
      <c r="B23" s="149">
        <v>-120000.0</v>
      </c>
      <c r="C23" s="149">
        <v>-140000.0</v>
      </c>
      <c r="D23" s="149">
        <v>-120000.0</v>
      </c>
      <c r="E23" s="149">
        <v>-120000.0</v>
      </c>
      <c r="F23" s="149">
        <f t="shared" si="22"/>
        <v>-500000</v>
      </c>
      <c r="S23" s="54"/>
    </row>
    <row r="24" ht="14.25" customHeight="1">
      <c r="A24" s="193" t="s">
        <v>530</v>
      </c>
      <c r="B24" s="155">
        <v>80000.0</v>
      </c>
      <c r="C24" s="155">
        <v>100000.0</v>
      </c>
      <c r="D24" s="155">
        <v>100000.0</v>
      </c>
      <c r="E24" s="155">
        <v>120000.0</v>
      </c>
      <c r="F24" s="155">
        <f t="shared" si="22"/>
        <v>400000</v>
      </c>
    </row>
    <row r="25" ht="14.25" customHeight="1">
      <c r="A25" s="186" t="s">
        <v>533</v>
      </c>
      <c r="B25" s="149">
        <v>60000.0</v>
      </c>
      <c r="C25" s="149">
        <v>70000.0</v>
      </c>
      <c r="D25" s="149">
        <v>80000.0</v>
      </c>
      <c r="E25" s="149">
        <v>90000.0</v>
      </c>
      <c r="F25" s="149">
        <f t="shared" si="22"/>
        <v>300000</v>
      </c>
      <c r="S25" s="54"/>
    </row>
    <row r="26" ht="14.25" customHeight="1">
      <c r="A26" s="193" t="s">
        <v>535</v>
      </c>
      <c r="B26" s="155">
        <f t="shared" ref="B26:E26" si="23">SUM(B21:B25)</f>
        <v>1437610</v>
      </c>
      <c r="C26" s="155">
        <f t="shared" si="23"/>
        <v>1564852</v>
      </c>
      <c r="D26" s="155">
        <f t="shared" si="23"/>
        <v>1684256</v>
      </c>
      <c r="E26" s="155">
        <f t="shared" si="23"/>
        <v>1791187</v>
      </c>
      <c r="F26" s="155">
        <f t="shared" si="22"/>
        <v>6477905</v>
      </c>
    </row>
    <row r="27" ht="14.25" customHeight="1">
      <c r="A27" s="186" t="s">
        <v>536</v>
      </c>
      <c r="B27" s="149">
        <v>-250000.0</v>
      </c>
      <c r="C27" s="149">
        <v>-350000.0</v>
      </c>
      <c r="D27" s="149">
        <v>-400000.0</v>
      </c>
      <c r="E27" s="149">
        <v>-350000.0</v>
      </c>
      <c r="F27" s="149">
        <f t="shared" si="22"/>
        <v>-1350000</v>
      </c>
      <c r="S27" s="54"/>
    </row>
    <row r="28" ht="14.25" customHeight="1">
      <c r="A28" s="193" t="s">
        <v>537</v>
      </c>
      <c r="B28" s="155">
        <f t="shared" ref="B28:E28" si="24">B27</f>
        <v>-250000</v>
      </c>
      <c r="C28" s="155">
        <f t="shared" si="24"/>
        <v>-350000</v>
      </c>
      <c r="D28" s="155">
        <f t="shared" si="24"/>
        <v>-400000</v>
      </c>
      <c r="E28" s="155">
        <f t="shared" si="24"/>
        <v>-350000</v>
      </c>
      <c r="F28" s="155">
        <f t="shared" si="22"/>
        <v>-1350000</v>
      </c>
    </row>
    <row r="29" ht="14.25" customHeight="1">
      <c r="A29" s="186" t="s">
        <v>540</v>
      </c>
      <c r="B29" s="149">
        <v>-70000.0</v>
      </c>
      <c r="C29" s="149">
        <v>-90000.0</v>
      </c>
      <c r="D29" s="149">
        <v>-90000.0</v>
      </c>
      <c r="E29" s="149">
        <v>-70000.0</v>
      </c>
      <c r="F29" s="149">
        <f t="shared" si="22"/>
        <v>-320000</v>
      </c>
      <c r="S29" s="54"/>
    </row>
    <row r="30" ht="14.25" customHeight="1">
      <c r="A30" s="193" t="s">
        <v>541</v>
      </c>
      <c r="B30" s="155">
        <v>-260000.0</v>
      </c>
      <c r="C30" s="155">
        <v>-260000.0</v>
      </c>
      <c r="D30" s="155">
        <v>-260000.0</v>
      </c>
      <c r="E30" s="155">
        <v>-260000.0</v>
      </c>
      <c r="F30" s="155">
        <f t="shared" si="22"/>
        <v>-1040000</v>
      </c>
    </row>
    <row r="31" ht="14.25" customHeight="1">
      <c r="A31" s="186" t="s">
        <v>543</v>
      </c>
      <c r="B31" s="149">
        <f t="shared" ref="B31:E31" si="25">SUM(B29:B30)</f>
        <v>-330000</v>
      </c>
      <c r="C31" s="149">
        <f t="shared" si="25"/>
        <v>-350000</v>
      </c>
      <c r="D31" s="149">
        <f t="shared" si="25"/>
        <v>-350000</v>
      </c>
      <c r="E31" s="149">
        <f t="shared" si="25"/>
        <v>-330000</v>
      </c>
      <c r="F31" s="149">
        <f t="shared" si="22"/>
        <v>-1360000</v>
      </c>
      <c r="S31" s="54"/>
    </row>
    <row r="32" ht="14.25" customHeight="1">
      <c r="A32" s="193" t="s">
        <v>546</v>
      </c>
      <c r="B32" s="155">
        <f t="shared" ref="B32:E32" si="26">SUM(B26,B28,B31)</f>
        <v>857610</v>
      </c>
      <c r="C32" s="155">
        <f t="shared" si="26"/>
        <v>864852</v>
      </c>
      <c r="D32" s="155">
        <f t="shared" si="26"/>
        <v>934256</v>
      </c>
      <c r="E32" s="155">
        <f t="shared" si="26"/>
        <v>1111187</v>
      </c>
      <c r="F32" s="155">
        <f t="shared" si="22"/>
        <v>3767905</v>
      </c>
    </row>
    <row r="33" ht="14.25" customHeight="1">
      <c r="A33" s="186" t="s">
        <v>547</v>
      </c>
      <c r="B33" s="149">
        <v>1800000.0</v>
      </c>
      <c r="C33" s="149">
        <f t="shared" ref="C33:E33" si="27">B33+B32</f>
        <v>2657610</v>
      </c>
      <c r="D33" s="149">
        <f t="shared" si="27"/>
        <v>3522462</v>
      </c>
      <c r="E33" s="149">
        <f t="shared" si="27"/>
        <v>4456718</v>
      </c>
      <c r="F33" s="149">
        <v>0.0</v>
      </c>
      <c r="S33" s="54"/>
    </row>
    <row r="34" ht="14.25" customHeight="1">
      <c r="A34" s="193" t="s">
        <v>548</v>
      </c>
      <c r="B34" s="155">
        <f t="shared" ref="B34:D34" si="28">C33</f>
        <v>2657610</v>
      </c>
      <c r="C34" s="155">
        <f t="shared" si="28"/>
        <v>3522462</v>
      </c>
      <c r="D34" s="155">
        <f t="shared" si="28"/>
        <v>4456718</v>
      </c>
      <c r="E34" s="155">
        <f>F32+B33</f>
        <v>5567905</v>
      </c>
      <c r="F34" s="155">
        <v>0.0</v>
      </c>
    </row>
    <row r="35" ht="14.25" customHeight="1">
      <c r="A35" s="186" t="s">
        <v>551</v>
      </c>
      <c r="B35" s="149">
        <f t="shared" ref="B35:F35" si="29">B34-B33</f>
        <v>857610</v>
      </c>
      <c r="C35" s="149">
        <f t="shared" si="29"/>
        <v>864852</v>
      </c>
      <c r="D35" s="149">
        <f t="shared" si="29"/>
        <v>934256</v>
      </c>
      <c r="E35" s="149">
        <f t="shared" si="29"/>
        <v>1111187</v>
      </c>
      <c r="F35" s="149">
        <f t="shared" si="29"/>
        <v>0</v>
      </c>
    </row>
    <row r="36" ht="14.25" customHeight="1">
      <c r="B36" s="54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2"/>
  <cols>
    <col customWidth="1" min="1" max="1" width="39.88"/>
    <col customWidth="1" min="2" max="2" width="11.5"/>
    <col customWidth="1" min="3" max="13" width="10.13"/>
    <col customWidth="1" min="14" max="14" width="0.63"/>
    <col customWidth="1" min="15" max="15" width="10.13"/>
    <col customWidth="1" min="16" max="16" width="11.13"/>
    <col customWidth="1" min="17" max="18" width="10.13"/>
    <col customWidth="1" min="19" max="19" width="11.13"/>
    <col customWidth="1" min="20" max="43" width="8.63"/>
  </cols>
  <sheetData>
    <row r="1" ht="14.25" customHeight="1">
      <c r="A1" s="144" t="s">
        <v>355</v>
      </c>
      <c r="B1" s="145" t="s">
        <v>413</v>
      </c>
      <c r="C1" s="145" t="s">
        <v>416</v>
      </c>
      <c r="D1" s="145" t="s">
        <v>417</v>
      </c>
      <c r="E1" s="145" t="s">
        <v>418</v>
      </c>
      <c r="F1" s="145" t="s">
        <v>419</v>
      </c>
      <c r="G1" s="145" t="s">
        <v>420</v>
      </c>
      <c r="H1" s="145" t="s">
        <v>421</v>
      </c>
      <c r="I1" s="145" t="s">
        <v>422</v>
      </c>
      <c r="J1" s="145" t="s">
        <v>423</v>
      </c>
      <c r="K1" s="145" t="s">
        <v>424</v>
      </c>
      <c r="L1" s="145" t="s">
        <v>425</v>
      </c>
      <c r="M1" s="145" t="s">
        <v>427</v>
      </c>
      <c r="O1" s="146" t="s">
        <v>428</v>
      </c>
      <c r="P1" s="146" t="s">
        <v>429</v>
      </c>
      <c r="Q1" s="146" t="s">
        <v>430</v>
      </c>
      <c r="R1" s="146" t="s">
        <v>431</v>
      </c>
      <c r="S1" s="144" t="s">
        <v>591</v>
      </c>
    </row>
    <row r="2" ht="14.25" customHeight="1">
      <c r="A2" s="147" t="s">
        <v>376</v>
      </c>
      <c r="B2" s="149">
        <v>2002000.0</v>
      </c>
      <c r="C2" s="149">
        <v>1978000.0</v>
      </c>
      <c r="D2" s="149">
        <v>2026024.0</v>
      </c>
      <c r="E2" s="149">
        <v>2040206.0</v>
      </c>
      <c r="F2" s="149">
        <v>2064689.0</v>
      </c>
      <c r="G2" s="149">
        <v>2081206.0</v>
      </c>
      <c r="H2" s="149">
        <v>2072881.0</v>
      </c>
      <c r="I2" s="149">
        <v>2124703.0</v>
      </c>
      <c r="J2" s="149">
        <v>2145950.0</v>
      </c>
      <c r="K2" s="149">
        <v>2171702.0</v>
      </c>
      <c r="L2" s="149">
        <v>2193419.0</v>
      </c>
      <c r="M2" s="149">
        <v>2164904.0</v>
      </c>
      <c r="O2" s="149">
        <v>6006024.0</v>
      </c>
      <c r="P2" s="149">
        <v>6186101.0</v>
      </c>
      <c r="Q2" s="149">
        <v>6343535.0</v>
      </c>
      <c r="R2" s="149">
        <v>6530025.0</v>
      </c>
      <c r="S2" s="149">
        <v>2.5065685E7</v>
      </c>
    </row>
    <row r="3" ht="14.25" customHeight="1">
      <c r="A3" s="154" t="s">
        <v>452</v>
      </c>
      <c r="B3" s="155">
        <v>140140.0</v>
      </c>
      <c r="C3" s="155">
        <v>138460.0</v>
      </c>
      <c r="D3" s="155">
        <v>141822.0</v>
      </c>
      <c r="E3" s="155">
        <v>142814.0</v>
      </c>
      <c r="F3" s="155">
        <v>144528.0</v>
      </c>
      <c r="G3" s="155">
        <v>145684.0</v>
      </c>
      <c r="H3" s="155">
        <v>145102.0</v>
      </c>
      <c r="I3" s="155">
        <v>148729.0</v>
      </c>
      <c r="J3" s="155">
        <v>150217.0</v>
      </c>
      <c r="K3" s="155">
        <v>152019.0</v>
      </c>
      <c r="L3" s="155">
        <v>153539.0</v>
      </c>
      <c r="M3" s="155">
        <v>151543.0</v>
      </c>
      <c r="O3" s="155">
        <v>420422.0</v>
      </c>
      <c r="P3" s="155">
        <v>433027.0</v>
      </c>
      <c r="Q3" s="155">
        <v>444047.0</v>
      </c>
      <c r="R3" s="155">
        <v>457102.0</v>
      </c>
      <c r="S3" s="155">
        <v>1754598.0</v>
      </c>
    </row>
    <row r="4" ht="14.25" customHeight="1">
      <c r="A4" s="147" t="s">
        <v>53</v>
      </c>
      <c r="B4" s="149">
        <v>1861860.0</v>
      </c>
      <c r="C4" s="149">
        <v>1839540.0</v>
      </c>
      <c r="D4" s="149">
        <v>1884202.0</v>
      </c>
      <c r="E4" s="149">
        <v>1897392.0</v>
      </c>
      <c r="F4" s="149">
        <v>1920160.0</v>
      </c>
      <c r="G4" s="149">
        <v>1935522.0</v>
      </c>
      <c r="H4" s="149">
        <v>1927780.0</v>
      </c>
      <c r="I4" s="149">
        <v>1975974.0</v>
      </c>
      <c r="J4" s="149">
        <v>1995734.0</v>
      </c>
      <c r="K4" s="149">
        <v>2019683.0</v>
      </c>
      <c r="L4" s="149">
        <v>2039879.0</v>
      </c>
      <c r="M4" s="149">
        <v>2013361.0</v>
      </c>
      <c r="O4" s="149">
        <v>5585602.0</v>
      </c>
      <c r="P4" s="149">
        <v>5753074.0</v>
      </c>
      <c r="Q4" s="149">
        <v>5899488.0</v>
      </c>
      <c r="R4" s="149">
        <v>6072923.0</v>
      </c>
      <c r="S4" s="149">
        <v>2.3311087E7</v>
      </c>
    </row>
    <row r="5" ht="14.25" customHeight="1">
      <c r="A5" s="154" t="s">
        <v>471</v>
      </c>
      <c r="B5" s="155">
        <v>661182.0</v>
      </c>
      <c r="C5" s="155">
        <v>637182.0</v>
      </c>
      <c r="D5" s="155">
        <v>649188.0</v>
      </c>
      <c r="E5" s="155">
        <v>652733.0</v>
      </c>
      <c r="F5" s="155">
        <v>658854.0</v>
      </c>
      <c r="G5" s="155">
        <v>662983.0</v>
      </c>
      <c r="H5" s="155">
        <v>667902.0</v>
      </c>
      <c r="I5" s="155">
        <v>673858.0</v>
      </c>
      <c r="J5" s="155">
        <v>679170.0</v>
      </c>
      <c r="K5" s="155">
        <v>685607.0</v>
      </c>
      <c r="L5" s="155">
        <v>691037.0</v>
      </c>
      <c r="M5" s="155">
        <v>683908.0</v>
      </c>
      <c r="O5" s="155">
        <v>1947552.0</v>
      </c>
      <c r="P5" s="155">
        <v>1974571.0</v>
      </c>
      <c r="Q5" s="155">
        <v>2020930.0</v>
      </c>
      <c r="R5" s="155">
        <v>2060552.0</v>
      </c>
      <c r="S5" s="155">
        <v>8003605.0</v>
      </c>
    </row>
    <row r="6" ht="14.25" customHeight="1">
      <c r="A6" s="147" t="s">
        <v>66</v>
      </c>
      <c r="B6" s="149">
        <v>1200678.0</v>
      </c>
      <c r="C6" s="149">
        <v>1202358.0</v>
      </c>
      <c r="D6" s="149">
        <v>1235014.0</v>
      </c>
      <c r="E6" s="149">
        <v>1244658.0</v>
      </c>
      <c r="F6" s="149">
        <v>1261306.0</v>
      </c>
      <c r="G6" s="149">
        <v>1272538.0</v>
      </c>
      <c r="H6" s="149">
        <v>1259877.0</v>
      </c>
      <c r="I6" s="149">
        <v>1302116.0</v>
      </c>
      <c r="J6" s="149">
        <v>1316564.0</v>
      </c>
      <c r="K6" s="149">
        <v>1334075.0</v>
      </c>
      <c r="L6" s="149">
        <v>1348843.0</v>
      </c>
      <c r="M6" s="149">
        <v>1329453.0</v>
      </c>
      <c r="O6" s="149">
        <v>3638050.0</v>
      </c>
      <c r="P6" s="149">
        <v>3778503.0</v>
      </c>
      <c r="Q6" s="149">
        <v>3878558.0</v>
      </c>
      <c r="R6" s="149">
        <v>4012371.0</v>
      </c>
      <c r="S6" s="149">
        <v>1.5307483E7</v>
      </c>
    </row>
    <row r="7" ht="14.25" customHeight="1">
      <c r="A7" s="154" t="s">
        <v>63</v>
      </c>
      <c r="B7" s="155">
        <v>682874.0</v>
      </c>
      <c r="C7" s="155">
        <v>676674.0</v>
      </c>
      <c r="D7" s="155">
        <v>679674.0</v>
      </c>
      <c r="E7" s="155">
        <v>674574.0</v>
      </c>
      <c r="F7" s="155">
        <v>676274.0</v>
      </c>
      <c r="G7" s="155">
        <v>677674.0</v>
      </c>
      <c r="H7" s="155">
        <v>687174.0</v>
      </c>
      <c r="I7" s="155">
        <v>674274.0</v>
      </c>
      <c r="J7" s="155">
        <v>681274.0</v>
      </c>
      <c r="K7" s="155">
        <v>674474.0</v>
      </c>
      <c r="L7" s="155">
        <v>689274.0</v>
      </c>
      <c r="M7" s="155">
        <v>674174.0</v>
      </c>
      <c r="O7" s="155">
        <v>2039221.0</v>
      </c>
      <c r="P7" s="155">
        <v>2028521.0</v>
      </c>
      <c r="Q7" s="155">
        <v>2042721.0</v>
      </c>
      <c r="R7" s="155">
        <v>2037921.0</v>
      </c>
      <c r="S7" s="155">
        <v>8148384.0</v>
      </c>
    </row>
    <row r="8" ht="14.25" customHeight="1">
      <c r="A8" s="147" t="s">
        <v>490</v>
      </c>
      <c r="B8" s="149">
        <v>120120.0</v>
      </c>
      <c r="C8" s="149">
        <v>118680.0</v>
      </c>
      <c r="D8" s="149">
        <v>121561.0</v>
      </c>
      <c r="E8" s="149">
        <v>122412.0</v>
      </c>
      <c r="F8" s="149">
        <v>123881.0</v>
      </c>
      <c r="G8" s="149">
        <v>124872.0</v>
      </c>
      <c r="H8" s="149">
        <v>124373.0</v>
      </c>
      <c r="I8" s="149">
        <v>127482.0</v>
      </c>
      <c r="J8" s="149">
        <v>128757.0</v>
      </c>
      <c r="K8" s="149">
        <v>130302.0</v>
      </c>
      <c r="L8" s="149">
        <v>131605.0</v>
      </c>
      <c r="M8" s="149">
        <v>129894.0</v>
      </c>
      <c r="O8" s="149">
        <v>360361.0</v>
      </c>
      <c r="P8" s="149">
        <v>371166.0</v>
      </c>
      <c r="Q8" s="149">
        <v>380612.0</v>
      </c>
      <c r="R8" s="149">
        <v>391801.0</v>
      </c>
      <c r="S8" s="149">
        <v>1503941.0</v>
      </c>
    </row>
    <row r="9" ht="14.25" customHeight="1">
      <c r="A9" s="154" t="s">
        <v>78</v>
      </c>
      <c r="B9" s="155">
        <v>467638.0</v>
      </c>
      <c r="C9" s="155">
        <v>481518.0</v>
      </c>
      <c r="D9" s="155">
        <v>511174.0</v>
      </c>
      <c r="E9" s="155">
        <v>525918.0</v>
      </c>
      <c r="F9" s="155">
        <v>540866.0</v>
      </c>
      <c r="G9" s="155">
        <v>550698.0</v>
      </c>
      <c r="H9" s="155">
        <v>528537.0</v>
      </c>
      <c r="I9" s="155">
        <v>583676.0</v>
      </c>
      <c r="J9" s="155">
        <v>591124.0</v>
      </c>
      <c r="K9" s="155">
        <v>615435.0</v>
      </c>
      <c r="L9" s="155">
        <v>615402.0</v>
      </c>
      <c r="M9" s="155">
        <v>611113.0</v>
      </c>
      <c r="O9" s="155">
        <v>1460329.0</v>
      </c>
      <c r="P9" s="155">
        <v>1617481.0</v>
      </c>
      <c r="Q9" s="155">
        <v>1703337.0</v>
      </c>
      <c r="R9" s="155">
        <v>1841950.0</v>
      </c>
      <c r="S9" s="155">
        <v>6623097.0</v>
      </c>
    </row>
    <row r="10" ht="14.25" customHeight="1">
      <c r="A10" s="147" t="s">
        <v>498</v>
      </c>
      <c r="B10" s="149">
        <v>347518.0</v>
      </c>
      <c r="C10" s="149">
        <v>362838.0</v>
      </c>
      <c r="D10" s="149">
        <v>389612.0</v>
      </c>
      <c r="E10" s="149">
        <v>403505.0</v>
      </c>
      <c r="F10" s="149">
        <v>416985.0</v>
      </c>
      <c r="G10" s="149">
        <v>425825.0</v>
      </c>
      <c r="H10" s="149">
        <v>404164.0</v>
      </c>
      <c r="I10" s="149">
        <v>456194.0</v>
      </c>
      <c r="J10" s="149">
        <v>462367.0</v>
      </c>
      <c r="K10" s="149">
        <v>485133.0</v>
      </c>
      <c r="L10" s="149">
        <v>483797.0</v>
      </c>
      <c r="M10" s="149">
        <v>481218.0</v>
      </c>
      <c r="O10" s="149">
        <v>1099968.0</v>
      </c>
      <c r="P10" s="149">
        <v>1246315.0</v>
      </c>
      <c r="Q10" s="149">
        <v>1322724.0</v>
      </c>
      <c r="R10" s="149">
        <v>1450148.0</v>
      </c>
      <c r="S10" s="149">
        <v>5119156.0</v>
      </c>
    </row>
    <row r="11" ht="14.25" customHeight="1">
      <c r="O11" s="54"/>
      <c r="P11" s="54"/>
      <c r="Q11" s="54"/>
      <c r="R11" s="54"/>
    </row>
    <row r="12" ht="14.25" customHeight="1">
      <c r="A12" s="183" t="s">
        <v>355</v>
      </c>
      <c r="B12" s="184" t="s">
        <v>4</v>
      </c>
      <c r="C12" s="184" t="s">
        <v>6</v>
      </c>
      <c r="D12" s="184" t="s">
        <v>7</v>
      </c>
      <c r="E12" s="184" t="s">
        <v>9</v>
      </c>
      <c r="F12" s="184" t="s">
        <v>10</v>
      </c>
      <c r="G12" s="184" t="s">
        <v>12</v>
      </c>
      <c r="H12" s="184" t="s">
        <v>14</v>
      </c>
      <c r="I12" s="184" t="s">
        <v>16</v>
      </c>
      <c r="J12" s="184" t="s">
        <v>18</v>
      </c>
      <c r="K12" s="184" t="s">
        <v>19</v>
      </c>
      <c r="L12" s="184" t="s">
        <v>20</v>
      </c>
      <c r="M12" s="184" t="s">
        <v>21</v>
      </c>
      <c r="O12" s="146" t="s">
        <v>428</v>
      </c>
      <c r="P12" s="146" t="s">
        <v>429</v>
      </c>
      <c r="Q12" s="146" t="s">
        <v>430</v>
      </c>
      <c r="R12" s="146" t="s">
        <v>431</v>
      </c>
      <c r="S12" s="184" t="s">
        <v>30</v>
      </c>
    </row>
    <row r="13" ht="14.25" customHeight="1">
      <c r="A13" s="186" t="s">
        <v>411</v>
      </c>
      <c r="B13" s="188">
        <f t="shared" ref="B13:M13" si="1">B10/B4</f>
        <v>0.1866509834</v>
      </c>
      <c r="C13" s="188">
        <f t="shared" si="1"/>
        <v>0.1972438762</v>
      </c>
      <c r="D13" s="188">
        <f t="shared" si="1"/>
        <v>0.2067782541</v>
      </c>
      <c r="E13" s="188">
        <f t="shared" si="1"/>
        <v>0.2126629605</v>
      </c>
      <c r="F13" s="188">
        <f t="shared" si="1"/>
        <v>0.2171615907</v>
      </c>
      <c r="G13" s="188">
        <f t="shared" si="1"/>
        <v>0.2200052492</v>
      </c>
      <c r="H13" s="188">
        <f t="shared" si="1"/>
        <v>0.2096525537</v>
      </c>
      <c r="I13" s="188">
        <f t="shared" si="1"/>
        <v>0.2308704467</v>
      </c>
      <c r="J13" s="188">
        <f t="shared" si="1"/>
        <v>0.2316776685</v>
      </c>
      <c r="K13" s="188">
        <f t="shared" si="1"/>
        <v>0.2402025466</v>
      </c>
      <c r="L13" s="188">
        <f t="shared" si="1"/>
        <v>0.2371694596</v>
      </c>
      <c r="M13" s="188">
        <f t="shared" si="1"/>
        <v>0.2390122785</v>
      </c>
      <c r="O13" s="191">
        <f>SUM(B13:D13)/3</f>
        <v>0.1968910379</v>
      </c>
      <c r="P13" s="191">
        <f>SUM(E13:G13)/3</f>
        <v>0.2166099335</v>
      </c>
      <c r="Q13" s="191">
        <f>SUM(H13:J13)/3</f>
        <v>0.2240668896</v>
      </c>
      <c r="R13" s="191">
        <f>SUM(K13:M13)/3</f>
        <v>0.2387947616</v>
      </c>
      <c r="S13" s="191">
        <f>S10/S4</f>
        <v>0.2196017715</v>
      </c>
    </row>
    <row r="14" ht="14.25" customHeight="1">
      <c r="A14" s="193" t="s">
        <v>151</v>
      </c>
      <c r="B14" s="194">
        <f t="shared" ref="B14:M14" si="2">B10+B8+45000</f>
        <v>512638</v>
      </c>
      <c r="C14" s="194">
        <f t="shared" si="2"/>
        <v>526518</v>
      </c>
      <c r="D14" s="194">
        <f t="shared" si="2"/>
        <v>556173</v>
      </c>
      <c r="E14" s="194">
        <f t="shared" si="2"/>
        <v>570917</v>
      </c>
      <c r="F14" s="194">
        <f t="shared" si="2"/>
        <v>585866</v>
      </c>
      <c r="G14" s="194">
        <f t="shared" si="2"/>
        <v>595697</v>
      </c>
      <c r="H14" s="194">
        <f t="shared" si="2"/>
        <v>573537</v>
      </c>
      <c r="I14" s="194">
        <f t="shared" si="2"/>
        <v>628676</v>
      </c>
      <c r="J14" s="194">
        <f t="shared" si="2"/>
        <v>636124</v>
      </c>
      <c r="K14" s="194">
        <f t="shared" si="2"/>
        <v>660435</v>
      </c>
      <c r="L14" s="194">
        <f t="shared" si="2"/>
        <v>660402</v>
      </c>
      <c r="M14" s="194">
        <f t="shared" si="2"/>
        <v>656112</v>
      </c>
      <c r="O14" s="194">
        <f>SUM(B14:D14)</f>
        <v>1595329</v>
      </c>
      <c r="P14" s="194">
        <f>SUM(E14:G14)</f>
        <v>1752480</v>
      </c>
      <c r="Q14" s="194">
        <f>SUM(H14:J14)</f>
        <v>1838337</v>
      </c>
      <c r="R14" s="194">
        <f>SUM(K14:M14)</f>
        <v>1976949</v>
      </c>
      <c r="S14" s="194">
        <f>S10+S8+(45000*12)</f>
        <v>7163097</v>
      </c>
    </row>
    <row r="15" ht="14.25" customHeight="1">
      <c r="A15" s="186" t="s">
        <v>437</v>
      </c>
      <c r="B15" s="188">
        <f t="shared" ref="B15:M15" si="3">B14/B4</f>
        <v>0.2753364915</v>
      </c>
      <c r="C15" s="188">
        <f t="shared" si="3"/>
        <v>0.2862226426</v>
      </c>
      <c r="D15" s="188">
        <f t="shared" si="3"/>
        <v>0.2951769502</v>
      </c>
      <c r="E15" s="188">
        <f t="shared" si="3"/>
        <v>0.3008956505</v>
      </c>
      <c r="F15" s="188">
        <f t="shared" si="3"/>
        <v>0.3051131156</v>
      </c>
      <c r="G15" s="188">
        <f t="shared" si="3"/>
        <v>0.3077707203</v>
      </c>
      <c r="H15" s="188">
        <f t="shared" si="3"/>
        <v>0.2975116455</v>
      </c>
      <c r="I15" s="188">
        <f t="shared" si="3"/>
        <v>0.3181600568</v>
      </c>
      <c r="J15" s="188">
        <f t="shared" si="3"/>
        <v>0.3187418764</v>
      </c>
      <c r="K15" s="188">
        <f t="shared" si="3"/>
        <v>0.326999336</v>
      </c>
      <c r="L15" s="188">
        <f t="shared" si="3"/>
        <v>0.3237456732</v>
      </c>
      <c r="M15" s="188">
        <f t="shared" si="3"/>
        <v>0.3258789656</v>
      </c>
      <c r="O15" s="191">
        <f t="shared" ref="O15:R15" si="4">SUM(B15:D15)/3</f>
        <v>0.2855786948</v>
      </c>
      <c r="P15" s="191">
        <f t="shared" si="4"/>
        <v>0.2940984144</v>
      </c>
      <c r="Q15" s="191">
        <f t="shared" si="4"/>
        <v>0.3003952388</v>
      </c>
      <c r="R15" s="191">
        <f t="shared" si="4"/>
        <v>0.3045931621</v>
      </c>
      <c r="S15" s="191">
        <f>S14/S4</f>
        <v>0.3072828393</v>
      </c>
    </row>
    <row r="16" ht="14.25" customHeight="1">
      <c r="A16" s="193" t="s">
        <v>122</v>
      </c>
      <c r="B16" s="198">
        <f t="shared" ref="B16:M16" si="5">B7/B4</f>
        <v>0.3667697894</v>
      </c>
      <c r="C16" s="198">
        <f t="shared" si="5"/>
        <v>0.3678495711</v>
      </c>
      <c r="D16" s="198">
        <f t="shared" si="5"/>
        <v>0.3607224703</v>
      </c>
      <c r="E16" s="198">
        <f t="shared" si="5"/>
        <v>0.3555269549</v>
      </c>
      <c r="F16" s="198">
        <f t="shared" si="5"/>
        <v>0.3521966919</v>
      </c>
      <c r="G16" s="198">
        <f t="shared" si="5"/>
        <v>0.3501246692</v>
      </c>
      <c r="H16" s="198">
        <f t="shared" si="5"/>
        <v>0.3564587245</v>
      </c>
      <c r="I16" s="198">
        <f t="shared" si="5"/>
        <v>0.3412362713</v>
      </c>
      <c r="J16" s="198">
        <f t="shared" si="5"/>
        <v>0.3413651318</v>
      </c>
      <c r="K16" s="198">
        <f t="shared" si="5"/>
        <v>0.3339504269</v>
      </c>
      <c r="L16" s="198">
        <f t="shared" si="5"/>
        <v>0.3378994538</v>
      </c>
      <c r="M16" s="198">
        <f t="shared" si="5"/>
        <v>0.3348500343</v>
      </c>
      <c r="O16" s="202">
        <f t="shared" ref="O16:R16" si="6">SUM(B16:D16)/3</f>
        <v>0.3651139436</v>
      </c>
      <c r="P16" s="202">
        <f t="shared" si="6"/>
        <v>0.3613663321</v>
      </c>
      <c r="Q16" s="202">
        <f t="shared" si="6"/>
        <v>0.3561487057</v>
      </c>
      <c r="R16" s="202">
        <f t="shared" si="6"/>
        <v>0.3526161053</v>
      </c>
      <c r="S16" s="202">
        <f>S7/S4</f>
        <v>0.3495497228</v>
      </c>
    </row>
    <row r="17" ht="14.25" customHeight="1">
      <c r="A17" s="186" t="s">
        <v>455</v>
      </c>
      <c r="B17" s="188">
        <f t="shared" ref="B17:M17" si="7">B6/B4</f>
        <v>0.6448809255</v>
      </c>
      <c r="C17" s="188">
        <f t="shared" si="7"/>
        <v>0.6536188395</v>
      </c>
      <c r="D17" s="188">
        <f t="shared" si="7"/>
        <v>0.6554573236</v>
      </c>
      <c r="E17" s="188">
        <f t="shared" si="7"/>
        <v>0.6559835817</v>
      </c>
      <c r="F17" s="188">
        <f t="shared" si="7"/>
        <v>0.6568754687</v>
      </c>
      <c r="G17" s="188">
        <f t="shared" si="7"/>
        <v>0.6574650146</v>
      </c>
      <c r="H17" s="188">
        <f t="shared" si="7"/>
        <v>0.6535377481</v>
      </c>
      <c r="I17" s="188">
        <f t="shared" si="7"/>
        <v>0.6589742578</v>
      </c>
      <c r="J17" s="188">
        <f t="shared" si="7"/>
        <v>0.6596891169</v>
      </c>
      <c r="K17" s="188">
        <f t="shared" si="7"/>
        <v>0.6605368268</v>
      </c>
      <c r="L17" s="188">
        <f t="shared" si="7"/>
        <v>0.6612367694</v>
      </c>
      <c r="M17" s="188">
        <f t="shared" si="7"/>
        <v>0.6603152639</v>
      </c>
      <c r="O17" s="191">
        <f t="shared" ref="O17:R17" si="8">SUM(B17:D17)/3</f>
        <v>0.6513190295</v>
      </c>
      <c r="P17" s="191">
        <f t="shared" si="8"/>
        <v>0.6550199149</v>
      </c>
      <c r="Q17" s="191">
        <f t="shared" si="8"/>
        <v>0.656105458</v>
      </c>
      <c r="R17" s="191">
        <f t="shared" si="8"/>
        <v>0.6567746883</v>
      </c>
      <c r="S17" s="188">
        <f>S6/S4</f>
        <v>0.6566610557</v>
      </c>
    </row>
    <row r="18" ht="14.25" customHeight="1"/>
    <row r="19" ht="14.25" customHeight="1">
      <c r="A19" s="146" t="s">
        <v>525</v>
      </c>
      <c r="B19" s="146" t="s">
        <v>428</v>
      </c>
      <c r="C19" s="146" t="s">
        <v>429</v>
      </c>
      <c r="D19" s="146" t="s">
        <v>430</v>
      </c>
      <c r="E19" s="146" t="s">
        <v>431</v>
      </c>
      <c r="F19" s="146" t="s">
        <v>30</v>
      </c>
      <c r="S19" s="54">
        <f>S5+S7</f>
        <v>16151989</v>
      </c>
    </row>
    <row r="20" ht="14.25" customHeight="1">
      <c r="A20" s="186" t="s">
        <v>99</v>
      </c>
      <c r="B20" s="149">
        <v>1099968.0</v>
      </c>
      <c r="C20" s="149">
        <v>1246315.0</v>
      </c>
      <c r="D20" s="149">
        <v>1322724.0</v>
      </c>
      <c r="E20" s="149">
        <v>1450148.0</v>
      </c>
      <c r="F20" s="149">
        <v>5119156.0</v>
      </c>
      <c r="H20" s="20" t="s">
        <v>604</v>
      </c>
      <c r="I20" s="20" t="s">
        <v>605</v>
      </c>
      <c r="S20" s="54">
        <f>S19/12</f>
        <v>1345999.083</v>
      </c>
    </row>
    <row r="21" ht="14.25" customHeight="1">
      <c r="A21" s="193" t="s">
        <v>528</v>
      </c>
      <c r="B21" s="155">
        <v>33946.0</v>
      </c>
      <c r="C21" s="155">
        <v>33946.0</v>
      </c>
      <c r="D21" s="155">
        <v>33946.0</v>
      </c>
      <c r="E21" s="155">
        <v>33946.0</v>
      </c>
      <c r="F21" s="155">
        <v>135784.0</v>
      </c>
      <c r="H21" s="20" t="s">
        <v>606</v>
      </c>
      <c r="I21" s="96">
        <v>350000.0</v>
      </c>
    </row>
    <row r="22" ht="14.25" customHeight="1">
      <c r="A22" s="186" t="s">
        <v>529</v>
      </c>
      <c r="B22" s="149">
        <v>-865602.0</v>
      </c>
      <c r="C22" s="149">
        <v>-865602.0</v>
      </c>
      <c r="D22" s="149">
        <v>-865602.0</v>
      </c>
      <c r="E22" s="149">
        <v>-865602.0</v>
      </c>
      <c r="F22" s="149">
        <v>-3462408.0</v>
      </c>
      <c r="H22" s="20" t="s">
        <v>607</v>
      </c>
      <c r="I22" s="236">
        <v>650000.0</v>
      </c>
      <c r="S22" s="54"/>
    </row>
    <row r="23" ht="14.25" customHeight="1">
      <c r="A23" s="193" t="s">
        <v>530</v>
      </c>
      <c r="B23" s="155">
        <v>43306.0</v>
      </c>
      <c r="C23" s="155">
        <v>43306.0</v>
      </c>
      <c r="D23" s="155">
        <v>43306.0</v>
      </c>
      <c r="E23" s="155">
        <v>43306.0</v>
      </c>
      <c r="F23" s="155">
        <v>173224.0</v>
      </c>
    </row>
    <row r="24" ht="14.25" customHeight="1">
      <c r="A24" s="186" t="s">
        <v>533</v>
      </c>
      <c r="B24" s="149">
        <v>230030.0</v>
      </c>
      <c r="C24" s="149">
        <v>230030.0</v>
      </c>
      <c r="D24" s="149">
        <v>230030.0</v>
      </c>
      <c r="E24" s="149">
        <v>230030.0</v>
      </c>
      <c r="F24" s="149">
        <v>920120.0</v>
      </c>
      <c r="S24" s="54"/>
    </row>
    <row r="25" ht="14.25" customHeight="1">
      <c r="A25" s="193" t="s">
        <v>535</v>
      </c>
      <c r="B25" s="155">
        <v>541648.0</v>
      </c>
      <c r="C25" s="155">
        <v>687995.0</v>
      </c>
      <c r="D25" s="155">
        <v>764404.0</v>
      </c>
      <c r="E25" s="155">
        <v>891828.0</v>
      </c>
      <c r="F25" s="155">
        <v>2885876.0</v>
      </c>
    </row>
    <row r="26" ht="14.25" customHeight="1">
      <c r="A26" s="186" t="s">
        <v>536</v>
      </c>
      <c r="B26" s="149">
        <v>-312500.0</v>
      </c>
      <c r="C26" s="149">
        <v>-312500.0</v>
      </c>
      <c r="D26" s="149">
        <v>-312500.0</v>
      </c>
      <c r="E26" s="149">
        <v>-312500.0</v>
      </c>
      <c r="F26" s="149">
        <v>-1250000.0</v>
      </c>
      <c r="S26" s="54"/>
    </row>
    <row r="27" ht="14.25" customHeight="1">
      <c r="A27" s="193" t="s">
        <v>537</v>
      </c>
      <c r="B27" s="155">
        <v>-312500.0</v>
      </c>
      <c r="C27" s="155">
        <v>-312500.0</v>
      </c>
      <c r="D27" s="155">
        <v>-312500.0</v>
      </c>
      <c r="E27" s="155">
        <v>-312500.0</v>
      </c>
      <c r="F27" s="155">
        <v>-1250000.0</v>
      </c>
    </row>
    <row r="28" ht="14.25" customHeight="1">
      <c r="A28" s="186" t="s">
        <v>540</v>
      </c>
      <c r="B28" s="149">
        <v>-100000.0</v>
      </c>
      <c r="C28" s="149">
        <v>-100000.0</v>
      </c>
      <c r="D28" s="149">
        <v>-100000.0</v>
      </c>
      <c r="E28" s="149">
        <v>-100000.0</v>
      </c>
      <c r="F28" s="149">
        <v>-400000.0</v>
      </c>
      <c r="S28" s="54"/>
    </row>
    <row r="29" ht="14.25" customHeight="1">
      <c r="A29" s="193" t="s">
        <v>541</v>
      </c>
      <c r="B29" s="155">
        <v>-534992.0</v>
      </c>
      <c r="C29" s="155">
        <v>-571579.0</v>
      </c>
      <c r="D29" s="155">
        <v>-590681.0</v>
      </c>
      <c r="E29" s="155">
        <v>-622537.0</v>
      </c>
      <c r="F29" s="155">
        <v>-2319789.0</v>
      </c>
    </row>
    <row r="30" ht="14.25" customHeight="1">
      <c r="A30" s="186" t="s">
        <v>543</v>
      </c>
      <c r="B30" s="149">
        <v>-634992.0</v>
      </c>
      <c r="C30" s="149">
        <v>-671579.0</v>
      </c>
      <c r="D30" s="149">
        <v>-690681.0</v>
      </c>
      <c r="E30" s="149">
        <v>-722537.0</v>
      </c>
      <c r="F30" s="149">
        <v>-2719789.0</v>
      </c>
      <c r="S30" s="54"/>
    </row>
    <row r="31" ht="14.25" customHeight="1">
      <c r="A31" s="193" t="s">
        <v>546</v>
      </c>
      <c r="B31" s="155">
        <v>-405844.0</v>
      </c>
      <c r="C31" s="155">
        <v>-296084.0</v>
      </c>
      <c r="D31" s="155">
        <v>-238777.0</v>
      </c>
      <c r="E31" s="155">
        <v>-143209.0</v>
      </c>
      <c r="F31" s="155">
        <v>-1083913.0</v>
      </c>
    </row>
    <row r="32" ht="14.25" customHeight="1">
      <c r="A32" s="186" t="s">
        <v>547</v>
      </c>
      <c r="B32" s="149">
        <v>1800000.0</v>
      </c>
      <c r="C32" s="149">
        <v>1394156.0</v>
      </c>
      <c r="D32" s="149">
        <v>1098072.0</v>
      </c>
      <c r="E32" s="149">
        <v>859296.0</v>
      </c>
      <c r="F32" s="149" t="s">
        <v>507</v>
      </c>
      <c r="S32" s="54"/>
    </row>
    <row r="33" ht="14.25" customHeight="1">
      <c r="A33" s="193" t="s">
        <v>548</v>
      </c>
      <c r="B33" s="155">
        <v>1394156.0</v>
      </c>
      <c r="C33" s="155">
        <v>1098072.0</v>
      </c>
      <c r="D33" s="155">
        <v>859296.0</v>
      </c>
      <c r="E33" s="155">
        <v>716087.0</v>
      </c>
      <c r="F33" s="155" t="s">
        <v>507</v>
      </c>
    </row>
    <row r="34" ht="14.25" customHeight="1">
      <c r="A34" s="186" t="s">
        <v>551</v>
      </c>
      <c r="B34" s="149">
        <v>-405844.0</v>
      </c>
      <c r="C34" s="149">
        <v>-296084.0</v>
      </c>
      <c r="D34" s="149">
        <v>-238777.0</v>
      </c>
      <c r="E34" s="149">
        <v>-143209.0</v>
      </c>
      <c r="F34" s="149" t="s">
        <v>507</v>
      </c>
    </row>
    <row r="35" ht="14.25" customHeight="1">
      <c r="B35" s="54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2"/>
  <cols>
    <col customWidth="1" min="1" max="1" width="7.63"/>
    <col customWidth="1" min="2" max="2" width="27.0"/>
    <col customWidth="1" min="3" max="14" width="12.5"/>
    <col customWidth="1" min="15" max="26" width="8.63"/>
  </cols>
  <sheetData>
    <row r="1" ht="14.25" customHeight="1">
      <c r="A1" s="245" t="s">
        <v>611</v>
      </c>
      <c r="B1" s="245" t="s">
        <v>355</v>
      </c>
      <c r="C1" s="146" t="s">
        <v>4</v>
      </c>
      <c r="D1" s="146" t="s">
        <v>6</v>
      </c>
      <c r="E1" s="146" t="s">
        <v>7</v>
      </c>
      <c r="F1" s="146" t="s">
        <v>9</v>
      </c>
      <c r="G1" s="146" t="s">
        <v>10</v>
      </c>
      <c r="H1" s="146" t="s">
        <v>12</v>
      </c>
      <c r="I1" s="146" t="s">
        <v>14</v>
      </c>
      <c r="J1" s="146" t="s">
        <v>16</v>
      </c>
      <c r="K1" s="146" t="s">
        <v>18</v>
      </c>
      <c r="L1" s="146" t="s">
        <v>19</v>
      </c>
      <c r="M1" s="146" t="s">
        <v>20</v>
      </c>
      <c r="N1" s="146" t="s">
        <v>21</v>
      </c>
    </row>
    <row r="2" ht="14.25" customHeight="1">
      <c r="A2" s="247" t="s">
        <v>612</v>
      </c>
      <c r="B2" s="247" t="s">
        <v>471</v>
      </c>
      <c r="C2" s="249">
        <f>IFERROR(VLOOKUP(A2,'[3]01.2025'!A:G,6,0),0)</f>
        <v>0</v>
      </c>
      <c r="D2" s="249">
        <f>IFERROR(VLOOKUP(A2,'[3]02.2025.2'!A:G,6,0),0)</f>
        <v>0</v>
      </c>
      <c r="E2" s="249">
        <f>IFERROR(VLOOKUP(A2,'[3]03.2025.2'!A:G,6,0),0)</f>
        <v>0</v>
      </c>
      <c r="F2" s="249">
        <f>IFERROR(VLOOKUP(A2,'[3]04.2025.2'!A:G,6,0),0)</f>
        <v>0</v>
      </c>
      <c r="G2" s="249">
        <f>IFERROR(VLOOKUP(A2,'[3]05.2025'!A:G,6,0),0)</f>
        <v>0</v>
      </c>
      <c r="H2" s="249">
        <f>IFERROR(VLOOKUP(A2,'[3]06.2025'!A:G,6,0),0)</f>
        <v>0</v>
      </c>
      <c r="I2" s="249">
        <f>IFERROR(VLOOKUP(A2,'[3]07.2025.3'!A:G,6,0),0)</f>
        <v>0</v>
      </c>
      <c r="J2" s="249">
        <f>IFERROR(VLOOKUP(A2,'[3]08.2025.2'!A:G,6,0),0)</f>
        <v>0</v>
      </c>
      <c r="K2" s="249">
        <f>IFERROR(VLOOKUP(A2,'[3]09.2025'!A:G,6,0),0)</f>
        <v>0</v>
      </c>
    </row>
    <row r="3" ht="14.25" customHeight="1">
      <c r="B3" s="20" t="s">
        <v>610</v>
      </c>
      <c r="C3" s="20">
        <v>1133.0</v>
      </c>
      <c r="D3" s="20">
        <v>1160.0</v>
      </c>
      <c r="E3" s="20">
        <v>1168.0</v>
      </c>
      <c r="F3" s="20">
        <v>1208.0</v>
      </c>
      <c r="G3" s="20">
        <v>1262.0</v>
      </c>
      <c r="H3" s="20">
        <v>1309.0</v>
      </c>
      <c r="I3" s="20">
        <v>1346.0</v>
      </c>
      <c r="J3" s="20">
        <v>1413.0</v>
      </c>
      <c r="K3" s="20">
        <v>1409.0</v>
      </c>
    </row>
    <row r="4" ht="14.25" customHeight="1"/>
    <row r="5" ht="14.25" customHeight="1">
      <c r="B5" s="20" t="s">
        <v>617</v>
      </c>
      <c r="C5" s="256">
        <f t="shared" ref="C5:K5" si="1">C2/C3</f>
        <v>0</v>
      </c>
      <c r="D5" s="256">
        <f t="shared" si="1"/>
        <v>0</v>
      </c>
      <c r="E5" s="256">
        <f t="shared" si="1"/>
        <v>0</v>
      </c>
      <c r="F5" s="256">
        <f t="shared" si="1"/>
        <v>0</v>
      </c>
      <c r="G5" s="256">
        <f t="shared" si="1"/>
        <v>0</v>
      </c>
      <c r="H5" s="256">
        <f t="shared" si="1"/>
        <v>0</v>
      </c>
      <c r="I5" s="256">
        <f t="shared" si="1"/>
        <v>0</v>
      </c>
      <c r="J5" s="256">
        <f t="shared" si="1"/>
        <v>0</v>
      </c>
      <c r="K5" s="256">
        <f t="shared" si="1"/>
        <v>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2"/>
  <cols>
    <col customWidth="1" min="1" max="1" width="14.13"/>
    <col customWidth="1" min="2" max="2" width="32.38"/>
    <col customWidth="1" min="3" max="3" width="12.88"/>
    <col customWidth="1" min="4" max="4" width="14.25"/>
    <col customWidth="1" min="5" max="10" width="12.5"/>
    <col customWidth="1" min="11" max="11" width="14.5"/>
    <col customWidth="1" min="12" max="12" width="13.13"/>
    <col customWidth="1" min="13" max="14" width="14.75"/>
    <col customWidth="1" hidden="1" min="15" max="15" width="14.75"/>
    <col customWidth="1" min="16" max="16" width="15.5"/>
    <col customWidth="1" min="17" max="17" width="9.38"/>
    <col customWidth="1" min="18" max="18" width="11.38"/>
    <col customWidth="1" min="19" max="19" width="8.75"/>
    <col customWidth="1" min="20" max="26" width="8.63"/>
  </cols>
  <sheetData>
    <row r="1" ht="14.25" customHeight="1">
      <c r="A1" s="245" t="s">
        <v>611</v>
      </c>
      <c r="B1" s="245" t="s">
        <v>355</v>
      </c>
      <c r="C1" s="146" t="s">
        <v>4</v>
      </c>
      <c r="D1" s="146" t="s">
        <v>6</v>
      </c>
      <c r="E1" s="146" t="s">
        <v>7</v>
      </c>
      <c r="F1" s="146" t="s">
        <v>9</v>
      </c>
      <c r="G1" s="146" t="s">
        <v>10</v>
      </c>
      <c r="H1" s="146" t="s">
        <v>12</v>
      </c>
      <c r="I1" s="146" t="s">
        <v>14</v>
      </c>
      <c r="J1" s="146" t="s">
        <v>16</v>
      </c>
      <c r="K1" s="146" t="s">
        <v>18</v>
      </c>
      <c r="L1" s="146" t="s">
        <v>19</v>
      </c>
      <c r="M1" s="146" t="s">
        <v>20</v>
      </c>
      <c r="N1" s="146" t="s">
        <v>21</v>
      </c>
      <c r="O1" s="146" t="s">
        <v>613</v>
      </c>
      <c r="P1" s="146" t="s">
        <v>30</v>
      </c>
      <c r="Q1" s="248" t="s">
        <v>578</v>
      </c>
      <c r="R1" s="24"/>
      <c r="S1" s="24"/>
      <c r="T1" s="24"/>
      <c r="U1" s="24"/>
      <c r="V1" s="24"/>
      <c r="W1" s="24"/>
      <c r="X1" s="24"/>
      <c r="Y1" s="24"/>
      <c r="Z1" s="24"/>
    </row>
    <row r="2" ht="14.25" hidden="1" customHeight="1">
      <c r="A2" s="250" t="s">
        <v>614</v>
      </c>
      <c r="B2" s="250" t="s">
        <v>38</v>
      </c>
      <c r="C2" s="251">
        <v>1471175.91</v>
      </c>
      <c r="D2" s="251">
        <v>1585602.79</v>
      </c>
      <c r="E2" s="251">
        <v>1362786.21</v>
      </c>
      <c r="F2" s="251">
        <v>1787005.74</v>
      </c>
      <c r="G2" s="251">
        <v>1640961.84</v>
      </c>
      <c r="H2" s="251">
        <v>1787215.62</v>
      </c>
      <c r="I2" s="251">
        <v>1900181.72</v>
      </c>
      <c r="J2" s="251">
        <v>2002063.75</v>
      </c>
      <c r="K2" s="251">
        <v>1904133.69</v>
      </c>
      <c r="L2" s="251">
        <v>2035135.4</v>
      </c>
      <c r="M2" s="251">
        <v>2009373.28</v>
      </c>
      <c r="N2" s="251">
        <v>1868483.29</v>
      </c>
      <c r="O2" s="251">
        <f t="shared" ref="O2:O137" si="1">N2-M2</f>
        <v>-140889.99</v>
      </c>
      <c r="P2" s="251">
        <f t="shared" ref="P2:P137" si="2">SUM(C2:M2)</f>
        <v>19485635.95</v>
      </c>
      <c r="Q2" s="252"/>
      <c r="R2" s="24"/>
      <c r="S2" s="24"/>
      <c r="T2" s="24"/>
      <c r="U2" s="24"/>
      <c r="V2" s="24"/>
      <c r="W2" s="24"/>
      <c r="X2" s="24"/>
      <c r="Y2" s="24"/>
      <c r="Z2" s="24"/>
    </row>
    <row r="3" ht="14.25" hidden="1" customHeight="1">
      <c r="A3" s="253" t="s">
        <v>615</v>
      </c>
      <c r="B3" s="253" t="s">
        <v>616</v>
      </c>
      <c r="C3" s="254">
        <v>1471175.91</v>
      </c>
      <c r="D3" s="254">
        <v>1585602.79</v>
      </c>
      <c r="E3" s="254">
        <v>1362786.21</v>
      </c>
      <c r="F3" s="254">
        <v>1787005.74</v>
      </c>
      <c r="G3" s="254">
        <v>1640961.84</v>
      </c>
      <c r="H3" s="254">
        <v>1787215.62</v>
      </c>
      <c r="I3" s="254">
        <v>1900181.72</v>
      </c>
      <c r="J3" s="254">
        <v>2002063.75</v>
      </c>
      <c r="K3" s="254">
        <v>1904133.69</v>
      </c>
      <c r="L3" s="254">
        <v>2035135.4</v>
      </c>
      <c r="M3" s="254">
        <v>2009373.28</v>
      </c>
      <c r="N3" s="254">
        <v>1868483.29</v>
      </c>
      <c r="O3" s="251">
        <f t="shared" si="1"/>
        <v>-140889.99</v>
      </c>
      <c r="P3" s="254">
        <f t="shared" si="2"/>
        <v>19485635.95</v>
      </c>
      <c r="Q3" s="255"/>
      <c r="R3" s="24"/>
      <c r="S3" s="24"/>
      <c r="T3" s="24"/>
      <c r="U3" s="24"/>
      <c r="V3" s="24"/>
      <c r="W3" s="24"/>
      <c r="X3" s="24"/>
      <c r="Y3" s="24"/>
      <c r="Z3" s="24"/>
    </row>
    <row r="4" ht="14.25" hidden="1" customHeight="1">
      <c r="A4" s="250" t="s">
        <v>618</v>
      </c>
      <c r="B4" s="250" t="s">
        <v>452</v>
      </c>
      <c r="C4" s="251">
        <v>97833.22</v>
      </c>
      <c r="D4" s="251">
        <v>105442.54</v>
      </c>
      <c r="E4" s="251">
        <v>90625.19</v>
      </c>
      <c r="F4" s="251">
        <v>118835.87</v>
      </c>
      <c r="G4" s="251">
        <v>109123.99</v>
      </c>
      <c r="H4" s="251">
        <v>118849.76</v>
      </c>
      <c r="I4" s="251">
        <v>126362.06</v>
      </c>
      <c r="J4" s="251">
        <v>133137.22</v>
      </c>
      <c r="K4" s="251">
        <v>127604.74</v>
      </c>
      <c r="L4" s="251">
        <v>135336.51</v>
      </c>
      <c r="M4" s="251">
        <v>133623.33</v>
      </c>
      <c r="N4" s="251">
        <v>124254.16</v>
      </c>
      <c r="O4" s="251">
        <f t="shared" si="1"/>
        <v>-9369.17</v>
      </c>
      <c r="P4" s="251">
        <f t="shared" si="2"/>
        <v>1296774.43</v>
      </c>
      <c r="Q4" s="252"/>
      <c r="R4" s="24"/>
      <c r="S4" s="24"/>
      <c r="T4" s="24"/>
      <c r="U4" s="24"/>
      <c r="V4" s="24"/>
      <c r="W4" s="24"/>
      <c r="X4" s="24"/>
      <c r="Y4" s="24"/>
      <c r="Z4" s="24"/>
    </row>
    <row r="5" ht="14.25" hidden="1" customHeight="1">
      <c r="A5" s="253" t="s">
        <v>620</v>
      </c>
      <c r="B5" s="253" t="s">
        <v>621</v>
      </c>
      <c r="C5" s="254">
        <v>44135.28</v>
      </c>
      <c r="D5" s="254">
        <v>47568.08</v>
      </c>
      <c r="E5" s="254">
        <v>40883.59</v>
      </c>
      <c r="F5" s="254">
        <v>53610.17</v>
      </c>
      <c r="G5" s="254">
        <v>49228.86</v>
      </c>
      <c r="H5" s="254">
        <v>53616.47</v>
      </c>
      <c r="I5" s="254">
        <v>57005.45</v>
      </c>
      <c r="J5" s="254">
        <v>60061.91</v>
      </c>
      <c r="K5" s="254">
        <v>57124.01</v>
      </c>
      <c r="L5" s="254">
        <v>61054.06</v>
      </c>
      <c r="M5" s="254">
        <v>60281.2</v>
      </c>
      <c r="N5" s="254">
        <v>56054.5</v>
      </c>
      <c r="O5" s="251">
        <f t="shared" si="1"/>
        <v>-4226.7</v>
      </c>
      <c r="P5" s="254">
        <f t="shared" si="2"/>
        <v>584569.08</v>
      </c>
      <c r="Q5" s="255"/>
      <c r="R5" s="24"/>
      <c r="S5" s="24"/>
      <c r="T5" s="24"/>
      <c r="U5" s="24"/>
      <c r="V5" s="24"/>
      <c r="W5" s="24"/>
      <c r="X5" s="24"/>
      <c r="Y5" s="24"/>
      <c r="Z5" s="24"/>
    </row>
    <row r="6" ht="14.25" hidden="1" customHeight="1">
      <c r="A6" s="250" t="s">
        <v>622</v>
      </c>
      <c r="B6" s="250" t="s">
        <v>623</v>
      </c>
      <c r="C6" s="251">
        <v>44135.3</v>
      </c>
      <c r="D6" s="251">
        <v>47568.04</v>
      </c>
      <c r="E6" s="251">
        <v>40883.49</v>
      </c>
      <c r="F6" s="251">
        <v>53610.16</v>
      </c>
      <c r="G6" s="251">
        <v>49228.88</v>
      </c>
      <c r="H6" s="251">
        <v>53616.39</v>
      </c>
      <c r="I6" s="251">
        <v>57005.43</v>
      </c>
      <c r="J6" s="251">
        <v>60061.9</v>
      </c>
      <c r="K6" s="251">
        <v>58103.86</v>
      </c>
      <c r="L6" s="251">
        <v>61054.07</v>
      </c>
      <c r="M6" s="251">
        <v>60281.2</v>
      </c>
      <c r="N6" s="251">
        <v>56054.52</v>
      </c>
      <c r="O6" s="251">
        <f t="shared" si="1"/>
        <v>-4226.68</v>
      </c>
      <c r="P6" s="251">
        <f t="shared" si="2"/>
        <v>585548.72</v>
      </c>
      <c r="Q6" s="255"/>
      <c r="R6" s="24"/>
      <c r="S6" s="24"/>
      <c r="T6" s="24"/>
      <c r="U6" s="24"/>
      <c r="V6" s="24"/>
      <c r="W6" s="24"/>
      <c r="X6" s="24"/>
      <c r="Y6" s="24"/>
      <c r="Z6" s="24"/>
    </row>
    <row r="7" ht="14.25" hidden="1" customHeight="1">
      <c r="A7" s="253" t="s">
        <v>625</v>
      </c>
      <c r="B7" s="253" t="s">
        <v>626</v>
      </c>
      <c r="C7" s="254">
        <v>9562.64</v>
      </c>
      <c r="D7" s="254">
        <v>10306.42</v>
      </c>
      <c r="E7" s="254">
        <v>8858.11</v>
      </c>
      <c r="F7" s="254">
        <v>11615.54</v>
      </c>
      <c r="G7" s="254">
        <v>10666.25</v>
      </c>
      <c r="H7" s="254">
        <v>11616.9</v>
      </c>
      <c r="I7" s="254">
        <v>12351.18</v>
      </c>
      <c r="J7" s="254">
        <v>13013.41</v>
      </c>
      <c r="K7" s="254">
        <v>12376.87</v>
      </c>
      <c r="L7" s="254">
        <v>13228.38</v>
      </c>
      <c r="M7" s="254">
        <v>13060.93</v>
      </c>
      <c r="N7" s="254">
        <v>12145.14</v>
      </c>
      <c r="O7" s="251">
        <f t="shared" si="1"/>
        <v>-915.79</v>
      </c>
      <c r="P7" s="254">
        <f t="shared" si="2"/>
        <v>126656.63</v>
      </c>
      <c r="Q7" s="255"/>
      <c r="R7" s="24"/>
      <c r="S7" s="24"/>
      <c r="T7" s="24"/>
      <c r="U7" s="24"/>
      <c r="V7" s="24"/>
      <c r="W7" s="24"/>
      <c r="X7" s="24"/>
      <c r="Y7" s="24"/>
      <c r="Z7" s="24"/>
    </row>
    <row r="8" ht="14.25" hidden="1" customHeight="1">
      <c r="A8" s="250" t="s">
        <v>628</v>
      </c>
      <c r="B8" s="250" t="s">
        <v>53</v>
      </c>
      <c r="C8" s="251">
        <v>1373342.69</v>
      </c>
      <c r="D8" s="251">
        <v>1480160.25</v>
      </c>
      <c r="E8" s="251">
        <v>1272161.02</v>
      </c>
      <c r="F8" s="251">
        <v>1668169.87</v>
      </c>
      <c r="G8" s="251">
        <v>1531837.85</v>
      </c>
      <c r="H8" s="251">
        <v>1668365.86</v>
      </c>
      <c r="I8" s="251">
        <v>1773819.66</v>
      </c>
      <c r="J8" s="251">
        <v>1868926.53</v>
      </c>
      <c r="K8" s="251">
        <v>1776528.95</v>
      </c>
      <c r="L8" s="251">
        <v>1899798.89</v>
      </c>
      <c r="M8" s="251">
        <v>1875749.95</v>
      </c>
      <c r="N8" s="251">
        <v>1744229.1300000001</v>
      </c>
      <c r="O8" s="251">
        <f t="shared" si="1"/>
        <v>-131520.82</v>
      </c>
      <c r="P8" s="251">
        <f t="shared" si="2"/>
        <v>18188861.52</v>
      </c>
      <c r="Q8" s="252"/>
      <c r="R8" s="24"/>
      <c r="S8" s="24"/>
      <c r="T8" s="24"/>
      <c r="U8" s="24"/>
      <c r="V8" s="24"/>
      <c r="W8" s="24"/>
      <c r="X8" s="24"/>
      <c r="Y8" s="24"/>
      <c r="Z8" s="24"/>
    </row>
    <row r="9" ht="14.25" hidden="1" customHeight="1">
      <c r="A9" s="253" t="s">
        <v>612</v>
      </c>
      <c r="B9" s="253" t="s">
        <v>471</v>
      </c>
      <c r="C9" s="254">
        <v>670896.37</v>
      </c>
      <c r="D9" s="254">
        <v>550631.43</v>
      </c>
      <c r="E9" s="254">
        <v>659749.75</v>
      </c>
      <c r="F9" s="254">
        <v>664020.62</v>
      </c>
      <c r="G9" s="254">
        <v>572212.66</v>
      </c>
      <c r="H9" s="254">
        <v>608013.49</v>
      </c>
      <c r="I9" s="254">
        <v>594661.41</v>
      </c>
      <c r="J9" s="254">
        <v>589258.86</v>
      </c>
      <c r="K9" s="254">
        <v>598059.32</v>
      </c>
      <c r="L9" s="254">
        <v>656896.65</v>
      </c>
      <c r="M9" s="254">
        <v>620827.81</v>
      </c>
      <c r="N9" s="254">
        <v>644089.2</v>
      </c>
      <c r="O9" s="251">
        <f t="shared" si="1"/>
        <v>23261.39</v>
      </c>
      <c r="P9" s="254">
        <f t="shared" si="2"/>
        <v>6785228.37</v>
      </c>
      <c r="Q9" s="255"/>
      <c r="R9" s="24"/>
      <c r="S9" s="24"/>
      <c r="T9" s="24"/>
      <c r="U9" s="24"/>
      <c r="V9" s="24"/>
      <c r="W9" s="24"/>
      <c r="X9" s="24"/>
      <c r="Y9" s="24"/>
      <c r="Z9" s="24"/>
    </row>
    <row r="10" ht="14.25" hidden="1" customHeight="1">
      <c r="A10" s="250" t="s">
        <v>252</v>
      </c>
      <c r="B10" s="250" t="s">
        <v>630</v>
      </c>
      <c r="C10" s="251">
        <v>670896.37</v>
      </c>
      <c r="D10" s="251">
        <v>550631.43</v>
      </c>
      <c r="E10" s="251">
        <v>659749.75</v>
      </c>
      <c r="F10" s="251">
        <v>664020.62</v>
      </c>
      <c r="G10" s="251">
        <v>572212.66</v>
      </c>
      <c r="H10" s="251">
        <v>608013.49</v>
      </c>
      <c r="I10" s="251">
        <v>594661.41</v>
      </c>
      <c r="J10" s="251">
        <v>589258.86</v>
      </c>
      <c r="K10" s="251">
        <v>598059.32</v>
      </c>
      <c r="L10" s="251">
        <v>656896.65</v>
      </c>
      <c r="M10" s="251">
        <v>620827.81</v>
      </c>
      <c r="N10" s="251">
        <v>644089.2</v>
      </c>
      <c r="O10" s="251">
        <f t="shared" si="1"/>
        <v>23261.39</v>
      </c>
      <c r="P10" s="251">
        <f t="shared" si="2"/>
        <v>6785228.37</v>
      </c>
      <c r="Q10" s="252">
        <f>P10/P8</f>
        <v>0.3730430496</v>
      </c>
      <c r="R10" s="24"/>
      <c r="S10" s="24"/>
      <c r="T10" s="24"/>
      <c r="U10" s="24"/>
      <c r="V10" s="24"/>
      <c r="W10" s="24"/>
      <c r="X10" s="24"/>
      <c r="Y10" s="24"/>
      <c r="Z10" s="24"/>
    </row>
    <row r="11" ht="14.25" hidden="1" customHeight="1">
      <c r="A11" s="253" t="s">
        <v>632</v>
      </c>
      <c r="B11" s="253" t="s">
        <v>633</v>
      </c>
      <c r="C11" s="254">
        <v>0.0</v>
      </c>
      <c r="D11" s="254">
        <v>0.0</v>
      </c>
      <c r="E11" s="254">
        <v>0.0</v>
      </c>
      <c r="F11" s="254">
        <v>0.0</v>
      </c>
      <c r="G11" s="254">
        <v>0.0</v>
      </c>
      <c r="H11" s="254">
        <v>-14394.62</v>
      </c>
      <c r="I11" s="254">
        <v>-8201.2</v>
      </c>
      <c r="J11" s="254">
        <v>-7629.4</v>
      </c>
      <c r="K11" s="254">
        <v>-6836.59</v>
      </c>
      <c r="L11" s="254">
        <v>-6628.68</v>
      </c>
      <c r="M11" s="254">
        <v>-5147.35</v>
      </c>
      <c r="N11" s="254">
        <v>4585.63</v>
      </c>
      <c r="O11" s="251">
        <f t="shared" si="1"/>
        <v>9732.98</v>
      </c>
      <c r="P11" s="254">
        <f t="shared" si="2"/>
        <v>-48837.84</v>
      </c>
      <c r="Q11" s="255"/>
      <c r="R11" s="24"/>
      <c r="S11" s="24"/>
      <c r="T11" s="24"/>
      <c r="U11" s="24"/>
      <c r="V11" s="24"/>
      <c r="W11" s="24"/>
      <c r="X11" s="24"/>
      <c r="Y11" s="24"/>
      <c r="Z11" s="24"/>
    </row>
    <row r="12" ht="14.25" hidden="1" customHeight="1">
      <c r="A12" s="250" t="s">
        <v>201</v>
      </c>
      <c r="B12" s="250" t="s">
        <v>634</v>
      </c>
      <c r="C12" s="251">
        <v>0.0</v>
      </c>
      <c r="D12" s="251">
        <v>0.0</v>
      </c>
      <c r="E12" s="251">
        <v>19601.83</v>
      </c>
      <c r="F12" s="251">
        <v>13584.12</v>
      </c>
      <c r="G12" s="251">
        <v>12559.63</v>
      </c>
      <c r="H12" s="251">
        <v>11401.55</v>
      </c>
      <c r="I12" s="251">
        <v>10674.88</v>
      </c>
      <c r="J12" s="251">
        <v>9552.85</v>
      </c>
      <c r="K12" s="251">
        <v>6187.0</v>
      </c>
      <c r="L12" s="251">
        <v>19823.79</v>
      </c>
      <c r="M12" s="251">
        <v>5279.45</v>
      </c>
      <c r="N12" s="251">
        <v>6582.04</v>
      </c>
      <c r="O12" s="251">
        <f t="shared" si="1"/>
        <v>1302.59</v>
      </c>
      <c r="P12" s="251">
        <f t="shared" si="2"/>
        <v>108665.1</v>
      </c>
      <c r="Q12" s="255"/>
      <c r="R12" s="24"/>
      <c r="S12" s="24"/>
      <c r="T12" s="24"/>
      <c r="U12" s="24"/>
      <c r="V12" s="24"/>
      <c r="W12" s="24"/>
      <c r="X12" s="24"/>
      <c r="Y12" s="24"/>
      <c r="Z12" s="24"/>
    </row>
    <row r="13" ht="14.25" hidden="1" customHeight="1">
      <c r="A13" s="253" t="s">
        <v>639</v>
      </c>
      <c r="B13" s="253" t="s">
        <v>641</v>
      </c>
      <c r="C13" s="254">
        <v>13750.0</v>
      </c>
      <c r="D13" s="254">
        <v>13482.0</v>
      </c>
      <c r="E13" s="254">
        <v>65259.45</v>
      </c>
      <c r="F13" s="254">
        <v>17893.3</v>
      </c>
      <c r="G13" s="254">
        <v>-4.8</v>
      </c>
      <c r="H13" s="254">
        <v>0.0</v>
      </c>
      <c r="I13" s="254">
        <v>0.0</v>
      </c>
      <c r="J13" s="254">
        <v>0.0</v>
      </c>
      <c r="K13" s="254">
        <v>0.0</v>
      </c>
      <c r="L13" s="254">
        <v>0.0</v>
      </c>
      <c r="M13" s="254">
        <v>0.0</v>
      </c>
      <c r="N13" s="254">
        <v>0.0</v>
      </c>
      <c r="O13" s="251">
        <f t="shared" si="1"/>
        <v>0</v>
      </c>
      <c r="P13" s="254">
        <f t="shared" si="2"/>
        <v>110379.95</v>
      </c>
      <c r="Q13" s="255"/>
      <c r="R13" s="24"/>
      <c r="S13" s="24"/>
      <c r="T13" s="24"/>
      <c r="U13" s="24"/>
      <c r="V13" s="24"/>
      <c r="W13" s="24"/>
      <c r="X13" s="24"/>
      <c r="Y13" s="24"/>
      <c r="Z13" s="24"/>
    </row>
    <row r="14" ht="14.25" hidden="1" customHeight="1">
      <c r="A14" s="250" t="s">
        <v>643</v>
      </c>
      <c r="B14" s="250" t="s">
        <v>644</v>
      </c>
      <c r="C14" s="251">
        <v>5113.23</v>
      </c>
      <c r="D14" s="251">
        <v>12463.33</v>
      </c>
      <c r="E14" s="251">
        <v>4355.24</v>
      </c>
      <c r="F14" s="251">
        <v>-491.59</v>
      </c>
      <c r="G14" s="251">
        <v>0.0</v>
      </c>
      <c r="H14" s="251">
        <v>0.0</v>
      </c>
      <c r="I14" s="251">
        <v>0.0</v>
      </c>
      <c r="J14" s="251">
        <v>0.0</v>
      </c>
      <c r="K14" s="251">
        <v>0.0</v>
      </c>
      <c r="L14" s="251">
        <v>0.0</v>
      </c>
      <c r="M14" s="251">
        <v>0.0</v>
      </c>
      <c r="N14" s="251">
        <v>0.0</v>
      </c>
      <c r="O14" s="251">
        <f t="shared" si="1"/>
        <v>0</v>
      </c>
      <c r="P14" s="251">
        <f t="shared" si="2"/>
        <v>21440.21</v>
      </c>
      <c r="Q14" s="255"/>
      <c r="R14" s="24"/>
      <c r="S14" s="24"/>
      <c r="T14" s="24"/>
      <c r="U14" s="24"/>
      <c r="V14" s="24"/>
      <c r="W14" s="24"/>
      <c r="X14" s="24"/>
      <c r="Y14" s="24"/>
      <c r="Z14" s="24"/>
    </row>
    <row r="15" ht="14.25" hidden="1" customHeight="1">
      <c r="A15" s="253" t="s">
        <v>646</v>
      </c>
      <c r="B15" s="253" t="s">
        <v>647</v>
      </c>
      <c r="C15" s="254">
        <v>0.0</v>
      </c>
      <c r="D15" s="254">
        <v>0.0</v>
      </c>
      <c r="E15" s="254">
        <v>0.0</v>
      </c>
      <c r="F15" s="254">
        <v>1777.54</v>
      </c>
      <c r="G15" s="254">
        <v>1586.28</v>
      </c>
      <c r="H15" s="254">
        <v>601.88</v>
      </c>
      <c r="I15" s="254">
        <v>607.51</v>
      </c>
      <c r="J15" s="254">
        <v>405.01</v>
      </c>
      <c r="K15" s="254">
        <v>0.0</v>
      </c>
      <c r="L15" s="254">
        <v>0.0</v>
      </c>
      <c r="M15" s="254">
        <v>0.0</v>
      </c>
      <c r="N15" s="254">
        <v>0.0</v>
      </c>
      <c r="O15" s="251">
        <f t="shared" si="1"/>
        <v>0</v>
      </c>
      <c r="P15" s="254">
        <f t="shared" si="2"/>
        <v>4978.22</v>
      </c>
      <c r="Q15" s="255"/>
      <c r="R15" s="24"/>
      <c r="S15" s="24"/>
      <c r="T15" s="24"/>
      <c r="U15" s="24"/>
      <c r="V15" s="24"/>
      <c r="W15" s="24"/>
      <c r="X15" s="24"/>
      <c r="Y15" s="24"/>
      <c r="Z15" s="24"/>
    </row>
    <row r="16" ht="14.25" hidden="1" customHeight="1">
      <c r="A16" s="250" t="s">
        <v>649</v>
      </c>
      <c r="B16" s="250" t="s">
        <v>650</v>
      </c>
      <c r="C16" s="251">
        <v>0.0</v>
      </c>
      <c r="D16" s="251">
        <v>0.0</v>
      </c>
      <c r="E16" s="251">
        <v>0.0</v>
      </c>
      <c r="F16" s="251">
        <v>1010.8300000000004</v>
      </c>
      <c r="G16" s="251">
        <v>0.0</v>
      </c>
      <c r="H16" s="251">
        <v>2761.1399999999994</v>
      </c>
      <c r="I16" s="251">
        <v>789.4399999999996</v>
      </c>
      <c r="J16" s="251">
        <v>-2681.87</v>
      </c>
      <c r="K16" s="251">
        <v>-11179.62</v>
      </c>
      <c r="L16" s="251">
        <v>-4404.91</v>
      </c>
      <c r="M16" s="251">
        <v>0.0</v>
      </c>
      <c r="N16" s="251">
        <v>-4240.0</v>
      </c>
      <c r="O16" s="251">
        <f t="shared" si="1"/>
        <v>-4240</v>
      </c>
      <c r="P16" s="251">
        <f t="shared" si="2"/>
        <v>-13704.99</v>
      </c>
      <c r="Q16" s="255"/>
      <c r="R16" s="24"/>
      <c r="S16" s="24"/>
      <c r="T16" s="24"/>
      <c r="U16" s="24"/>
      <c r="V16" s="24"/>
      <c r="W16" s="24"/>
      <c r="X16" s="24"/>
      <c r="Y16" s="24"/>
      <c r="Z16" s="24"/>
    </row>
    <row r="17" ht="14.25" hidden="1" customHeight="1">
      <c r="A17" s="253" t="s">
        <v>193</v>
      </c>
      <c r="B17" s="253" t="s">
        <v>194</v>
      </c>
      <c r="C17" s="254">
        <v>0.0</v>
      </c>
      <c r="D17" s="254">
        <v>0.0</v>
      </c>
      <c r="E17" s="254">
        <v>29157.27</v>
      </c>
      <c r="F17" s="254">
        <v>17547.7</v>
      </c>
      <c r="G17" s="254">
        <v>16351.26</v>
      </c>
      <c r="H17" s="254">
        <v>15022.26</v>
      </c>
      <c r="I17" s="254">
        <v>15791.97</v>
      </c>
      <c r="J17" s="254">
        <v>14109.57</v>
      </c>
      <c r="K17" s="254">
        <v>9834.85</v>
      </c>
      <c r="L17" s="254">
        <v>10598.92</v>
      </c>
      <c r="M17" s="254">
        <v>7549.82</v>
      </c>
      <c r="N17" s="254">
        <v>10067.03</v>
      </c>
      <c r="O17" s="251">
        <f t="shared" si="1"/>
        <v>2517.21</v>
      </c>
      <c r="P17" s="254">
        <f t="shared" si="2"/>
        <v>135963.62</v>
      </c>
      <c r="Q17" s="255"/>
      <c r="R17" s="24"/>
      <c r="S17" s="24"/>
      <c r="T17" s="24"/>
      <c r="U17" s="24"/>
      <c r="V17" s="24"/>
      <c r="W17" s="24"/>
      <c r="X17" s="24"/>
      <c r="Y17" s="24"/>
      <c r="Z17" s="24"/>
    </row>
    <row r="18" ht="14.25" hidden="1" customHeight="1">
      <c r="A18" s="250" t="s">
        <v>652</v>
      </c>
      <c r="B18" s="250" t="s">
        <v>653</v>
      </c>
      <c r="C18" s="251">
        <v>0.0</v>
      </c>
      <c r="D18" s="251">
        <v>0.0</v>
      </c>
      <c r="E18" s="251">
        <v>0.0</v>
      </c>
      <c r="F18" s="251">
        <v>0.0</v>
      </c>
      <c r="G18" s="251">
        <v>0.0</v>
      </c>
      <c r="H18" s="251">
        <v>648.28</v>
      </c>
      <c r="I18" s="251">
        <v>0.0</v>
      </c>
      <c r="J18" s="251">
        <v>0.0</v>
      </c>
      <c r="K18" s="251">
        <v>0.0</v>
      </c>
      <c r="L18" s="251">
        <v>0.0</v>
      </c>
      <c r="M18" s="251">
        <v>0.0</v>
      </c>
      <c r="N18" s="251">
        <v>0.0</v>
      </c>
      <c r="O18" s="251">
        <f t="shared" si="1"/>
        <v>0</v>
      </c>
      <c r="P18" s="251">
        <f t="shared" si="2"/>
        <v>648.28</v>
      </c>
      <c r="Q18" s="255"/>
      <c r="R18" s="24"/>
      <c r="S18" s="24"/>
      <c r="T18" s="24"/>
      <c r="U18" s="24"/>
      <c r="V18" s="24"/>
      <c r="W18" s="24"/>
      <c r="X18" s="24"/>
      <c r="Y18" s="24"/>
      <c r="Z18" s="24"/>
    </row>
    <row r="19" ht="14.25" hidden="1" customHeight="1">
      <c r="A19" s="253" t="s">
        <v>654</v>
      </c>
      <c r="B19" s="253" t="s">
        <v>655</v>
      </c>
      <c r="C19" s="254">
        <v>22923.83</v>
      </c>
      <c r="D19" s="254">
        <v>27467.39</v>
      </c>
      <c r="E19" s="254">
        <v>19568.04</v>
      </c>
      <c r="F19" s="254">
        <v>15439.01</v>
      </c>
      <c r="G19" s="254">
        <v>14980.05</v>
      </c>
      <c r="H19" s="254">
        <v>12481.49</v>
      </c>
      <c r="I19" s="254">
        <v>18479.86</v>
      </c>
      <c r="J19" s="254">
        <v>11266.65</v>
      </c>
      <c r="K19" s="254">
        <v>16416.8</v>
      </c>
      <c r="L19" s="254">
        <v>9794.45</v>
      </c>
      <c r="M19" s="254">
        <v>9561.86</v>
      </c>
      <c r="N19" s="254">
        <v>9719.72</v>
      </c>
      <c r="O19" s="251">
        <f t="shared" si="1"/>
        <v>157.86</v>
      </c>
      <c r="P19" s="254">
        <f t="shared" si="2"/>
        <v>178379.43</v>
      </c>
      <c r="Q19" s="255"/>
      <c r="R19" s="24"/>
      <c r="S19" s="24"/>
      <c r="T19" s="24"/>
      <c r="U19" s="24"/>
      <c r="V19" s="24"/>
      <c r="W19" s="24"/>
      <c r="X19" s="24"/>
      <c r="Y19" s="24"/>
      <c r="Z19" s="24"/>
    </row>
    <row r="20" ht="14.25" hidden="1" customHeight="1">
      <c r="A20" s="250" t="s">
        <v>656</v>
      </c>
      <c r="B20" s="250" t="s">
        <v>657</v>
      </c>
      <c r="C20" s="251">
        <v>0.0</v>
      </c>
      <c r="D20" s="251">
        <v>0.0</v>
      </c>
      <c r="E20" s="251">
        <v>0.0</v>
      </c>
      <c r="F20" s="251">
        <v>3669.85</v>
      </c>
      <c r="G20" s="251">
        <v>567.52</v>
      </c>
      <c r="H20" s="251">
        <v>0.0</v>
      </c>
      <c r="I20" s="251">
        <v>0.0</v>
      </c>
      <c r="J20" s="251">
        <v>2779.72</v>
      </c>
      <c r="K20" s="251">
        <v>0.0</v>
      </c>
      <c r="L20" s="251">
        <v>0.0</v>
      </c>
      <c r="M20" s="251">
        <v>0.0</v>
      </c>
      <c r="N20" s="251">
        <v>0.0</v>
      </c>
      <c r="O20" s="251">
        <f t="shared" si="1"/>
        <v>0</v>
      </c>
      <c r="P20" s="251">
        <f t="shared" si="2"/>
        <v>7017.09</v>
      </c>
      <c r="Q20" s="255"/>
      <c r="R20" s="24"/>
      <c r="S20" s="24"/>
      <c r="T20" s="24"/>
      <c r="U20" s="24"/>
      <c r="V20" s="24"/>
      <c r="W20" s="24"/>
      <c r="X20" s="24"/>
      <c r="Y20" s="24"/>
      <c r="Z20" s="24"/>
    </row>
    <row r="21" ht="14.25" hidden="1" customHeight="1">
      <c r="A21" s="253" t="s">
        <v>658</v>
      </c>
      <c r="B21" s="253" t="s">
        <v>659</v>
      </c>
      <c r="C21" s="254">
        <v>0.0</v>
      </c>
      <c r="D21" s="254">
        <v>0.0</v>
      </c>
      <c r="E21" s="254">
        <v>0.0</v>
      </c>
      <c r="F21" s="254">
        <v>226.49</v>
      </c>
      <c r="G21" s="254">
        <v>5937.54</v>
      </c>
      <c r="H21" s="254">
        <v>0.0</v>
      </c>
      <c r="I21" s="254">
        <v>0.0</v>
      </c>
      <c r="J21" s="254">
        <v>1644.89</v>
      </c>
      <c r="K21" s="254">
        <v>1592.67</v>
      </c>
      <c r="L21" s="254">
        <v>1718.21</v>
      </c>
      <c r="M21" s="254">
        <v>1187.1</v>
      </c>
      <c r="N21" s="254">
        <v>1315.83</v>
      </c>
      <c r="O21" s="251">
        <f t="shared" si="1"/>
        <v>128.73</v>
      </c>
      <c r="P21" s="254">
        <f t="shared" si="2"/>
        <v>12306.9</v>
      </c>
      <c r="Q21" s="255"/>
      <c r="R21" s="24"/>
      <c r="S21" s="24"/>
      <c r="T21" s="24"/>
      <c r="U21" s="24"/>
      <c r="V21" s="24"/>
      <c r="W21" s="24"/>
      <c r="X21" s="24"/>
      <c r="Y21" s="24"/>
      <c r="Z21" s="24"/>
    </row>
    <row r="22" ht="14.25" hidden="1" customHeight="1">
      <c r="A22" s="250" t="s">
        <v>662</v>
      </c>
      <c r="B22" s="250" t="s">
        <v>663</v>
      </c>
      <c r="C22" s="251">
        <v>0.0</v>
      </c>
      <c r="D22" s="251">
        <v>0.0</v>
      </c>
      <c r="E22" s="251">
        <v>0.0</v>
      </c>
      <c r="F22" s="251">
        <v>4250.4</v>
      </c>
      <c r="G22" s="251">
        <v>4554.0</v>
      </c>
      <c r="H22" s="251">
        <v>3946.8</v>
      </c>
      <c r="I22" s="251">
        <v>3946.8</v>
      </c>
      <c r="J22" s="251">
        <v>2783.0</v>
      </c>
      <c r="K22" s="251">
        <v>2175.8</v>
      </c>
      <c r="L22" s="251">
        <v>1467.4</v>
      </c>
      <c r="M22" s="251">
        <v>1234.64</v>
      </c>
      <c r="N22" s="251">
        <v>1082.84</v>
      </c>
      <c r="O22" s="251">
        <f t="shared" si="1"/>
        <v>-151.8</v>
      </c>
      <c r="P22" s="251">
        <f t="shared" si="2"/>
        <v>24358.84</v>
      </c>
      <c r="Q22" s="255"/>
      <c r="R22" s="24"/>
      <c r="S22" s="24"/>
      <c r="T22" s="24"/>
      <c r="U22" s="24"/>
      <c r="V22" s="24"/>
      <c r="W22" s="24"/>
      <c r="X22" s="24"/>
      <c r="Y22" s="24"/>
      <c r="Z22" s="24"/>
    </row>
    <row r="23" ht="14.25" hidden="1" customHeight="1">
      <c r="A23" s="253" t="s">
        <v>664</v>
      </c>
      <c r="B23" s="253" t="s">
        <v>665</v>
      </c>
      <c r="C23" s="254">
        <v>88026.4</v>
      </c>
      <c r="D23" s="254">
        <v>65873.66</v>
      </c>
      <c r="E23" s="254">
        <v>63210.84</v>
      </c>
      <c r="F23" s="254">
        <v>51032.3</v>
      </c>
      <c r="G23" s="254">
        <v>49642.79</v>
      </c>
      <c r="H23" s="254">
        <v>43745.07</v>
      </c>
      <c r="I23" s="254">
        <v>40756.22</v>
      </c>
      <c r="J23" s="254">
        <v>38532.89</v>
      </c>
      <c r="K23" s="254">
        <v>30604.45</v>
      </c>
      <c r="L23" s="254">
        <v>30551.23</v>
      </c>
      <c r="M23" s="254">
        <v>21124.33</v>
      </c>
      <c r="N23" s="254">
        <v>22765.36</v>
      </c>
      <c r="O23" s="251">
        <f t="shared" si="1"/>
        <v>1641.03</v>
      </c>
      <c r="P23" s="254">
        <f t="shared" si="2"/>
        <v>523100.18</v>
      </c>
      <c r="Q23" s="255"/>
      <c r="R23" s="24"/>
      <c r="S23" s="24"/>
      <c r="T23" s="24"/>
      <c r="U23" s="24"/>
      <c r="V23" s="24"/>
      <c r="W23" s="24"/>
      <c r="X23" s="24"/>
      <c r="Y23" s="24"/>
      <c r="Z23" s="24"/>
    </row>
    <row r="24" ht="14.25" hidden="1" customHeight="1">
      <c r="A24" s="250" t="s">
        <v>666</v>
      </c>
      <c r="B24" s="250" t="s">
        <v>667</v>
      </c>
      <c r="C24" s="251">
        <v>0.0</v>
      </c>
      <c r="D24" s="251">
        <v>0.0</v>
      </c>
      <c r="E24" s="251">
        <v>0.0</v>
      </c>
      <c r="F24" s="251">
        <v>249.99</v>
      </c>
      <c r="G24" s="251">
        <v>0.0</v>
      </c>
      <c r="H24" s="251">
        <v>0.0</v>
      </c>
      <c r="I24" s="251">
        <v>0.0</v>
      </c>
      <c r="J24" s="251">
        <v>962.59</v>
      </c>
      <c r="K24" s="251">
        <v>700.0</v>
      </c>
      <c r="L24" s="251">
        <v>120.0</v>
      </c>
      <c r="M24" s="251">
        <v>6293.03</v>
      </c>
      <c r="N24" s="251">
        <v>0.0</v>
      </c>
      <c r="O24" s="251">
        <f t="shared" si="1"/>
        <v>-6293.03</v>
      </c>
      <c r="P24" s="251">
        <f t="shared" si="2"/>
        <v>8325.61</v>
      </c>
      <c r="Q24" s="255"/>
      <c r="R24" s="24"/>
      <c r="S24" s="24"/>
      <c r="T24" s="24"/>
      <c r="U24" s="24"/>
      <c r="V24" s="24"/>
      <c r="W24" s="24"/>
      <c r="X24" s="24"/>
      <c r="Y24" s="24"/>
      <c r="Z24" s="24"/>
    </row>
    <row r="25" ht="14.25" hidden="1" customHeight="1">
      <c r="A25" s="253" t="s">
        <v>668</v>
      </c>
      <c r="B25" s="253" t="s">
        <v>669</v>
      </c>
      <c r="C25" s="254">
        <v>0.0</v>
      </c>
      <c r="D25" s="254">
        <v>0.0</v>
      </c>
      <c r="E25" s="254">
        <v>0.0</v>
      </c>
      <c r="F25" s="254">
        <v>1162.2800000000002</v>
      </c>
      <c r="G25" s="254">
        <v>0.0</v>
      </c>
      <c r="H25" s="254">
        <v>6709.9800000000005</v>
      </c>
      <c r="I25" s="254">
        <v>3730.82</v>
      </c>
      <c r="J25" s="254">
        <v>10434.36</v>
      </c>
      <c r="K25" s="254">
        <v>3539.4799999999996</v>
      </c>
      <c r="L25" s="254">
        <v>13147.25</v>
      </c>
      <c r="M25" s="254">
        <v>459.8600000000001</v>
      </c>
      <c r="N25" s="254">
        <v>2411.96</v>
      </c>
      <c r="O25" s="251">
        <f t="shared" si="1"/>
        <v>1952.1</v>
      </c>
      <c r="P25" s="254">
        <f t="shared" si="2"/>
        <v>39184.03</v>
      </c>
      <c r="Q25" s="255"/>
      <c r="R25" s="24"/>
      <c r="S25" s="24"/>
      <c r="T25" s="24"/>
      <c r="U25" s="24"/>
      <c r="V25" s="24"/>
      <c r="W25" s="24"/>
      <c r="X25" s="24"/>
      <c r="Y25" s="24"/>
      <c r="Z25" s="24"/>
    </row>
    <row r="26" ht="14.25" hidden="1" customHeight="1">
      <c r="A26" s="250" t="s">
        <v>670</v>
      </c>
      <c r="B26" s="250" t="s">
        <v>671</v>
      </c>
      <c r="C26" s="251">
        <v>164865.21</v>
      </c>
      <c r="D26" s="251">
        <v>127902.65999999999</v>
      </c>
      <c r="E26" s="251">
        <v>172050.49</v>
      </c>
      <c r="F26" s="251">
        <v>171130.32</v>
      </c>
      <c r="G26" s="251">
        <v>168589.98</v>
      </c>
      <c r="H26" s="251">
        <v>151166.2</v>
      </c>
      <c r="I26" s="251">
        <v>146365.86000000002</v>
      </c>
      <c r="J26" s="251">
        <v>120981.74</v>
      </c>
      <c r="K26" s="251">
        <v>99295.78</v>
      </c>
      <c r="L26" s="251">
        <v>94795.64</v>
      </c>
      <c r="M26" s="251">
        <v>78476.03</v>
      </c>
      <c r="N26" s="251">
        <v>77646.15000000001</v>
      </c>
      <c r="O26" s="251">
        <f t="shared" si="1"/>
        <v>-829.88</v>
      </c>
      <c r="P26" s="251">
        <f t="shared" si="2"/>
        <v>1495619.91</v>
      </c>
      <c r="Q26" s="255"/>
      <c r="R26" s="24"/>
      <c r="S26" s="24"/>
      <c r="T26" s="24"/>
      <c r="U26" s="24"/>
      <c r="V26" s="24"/>
      <c r="W26" s="24"/>
      <c r="X26" s="24"/>
      <c r="Y26" s="24"/>
      <c r="Z26" s="24"/>
    </row>
    <row r="27" ht="14.25" hidden="1" customHeight="1">
      <c r="A27" s="253" t="s">
        <v>672</v>
      </c>
      <c r="B27" s="253" t="s">
        <v>673</v>
      </c>
      <c r="C27" s="254">
        <v>53281.25</v>
      </c>
      <c r="D27" s="254">
        <v>26995.44</v>
      </c>
      <c r="E27" s="254">
        <v>9254.22</v>
      </c>
      <c r="F27" s="254">
        <v>27513.280000000002</v>
      </c>
      <c r="G27" s="254">
        <v>3469.2</v>
      </c>
      <c r="H27" s="254">
        <v>11294.42</v>
      </c>
      <c r="I27" s="254">
        <v>3797.8700000000003</v>
      </c>
      <c r="J27" s="254">
        <v>1896.27</v>
      </c>
      <c r="K27" s="254">
        <v>3894.1000000000004</v>
      </c>
      <c r="L27" s="254">
        <v>18431.83</v>
      </c>
      <c r="M27" s="254">
        <v>1424.4</v>
      </c>
      <c r="N27" s="254">
        <v>1512.4</v>
      </c>
      <c r="O27" s="251">
        <f t="shared" si="1"/>
        <v>88</v>
      </c>
      <c r="P27" s="254">
        <f t="shared" si="2"/>
        <v>161252.28</v>
      </c>
      <c r="Q27" s="255"/>
      <c r="R27" s="24"/>
      <c r="S27" s="24"/>
      <c r="T27" s="24"/>
      <c r="U27" s="24"/>
      <c r="V27" s="24"/>
      <c r="W27" s="24"/>
      <c r="X27" s="24"/>
      <c r="Y27" s="24"/>
      <c r="Z27" s="24"/>
    </row>
    <row r="28" ht="14.25" hidden="1" customHeight="1">
      <c r="A28" s="250" t="s">
        <v>674</v>
      </c>
      <c r="B28" s="250" t="s">
        <v>673</v>
      </c>
      <c r="C28" s="251">
        <v>0.0</v>
      </c>
      <c r="D28" s="251">
        <v>0.0</v>
      </c>
      <c r="E28" s="251">
        <v>0.0</v>
      </c>
      <c r="F28" s="251">
        <v>6968.32</v>
      </c>
      <c r="G28" s="251">
        <v>-1073.28</v>
      </c>
      <c r="H28" s="251">
        <v>0.0</v>
      </c>
      <c r="I28" s="251">
        <v>0.0</v>
      </c>
      <c r="J28" s="251">
        <v>8.349999999999994</v>
      </c>
      <c r="K28" s="251">
        <v>168.75</v>
      </c>
      <c r="L28" s="251">
        <v>0.0</v>
      </c>
      <c r="M28" s="251">
        <v>0.0</v>
      </c>
      <c r="N28" s="251">
        <v>0.0</v>
      </c>
      <c r="O28" s="251">
        <f t="shared" si="1"/>
        <v>0</v>
      </c>
      <c r="P28" s="251">
        <f t="shared" si="2"/>
        <v>6072.14</v>
      </c>
      <c r="Q28" s="255"/>
      <c r="R28" s="24"/>
      <c r="S28" s="24"/>
      <c r="T28" s="24"/>
      <c r="U28" s="24"/>
      <c r="V28" s="24"/>
      <c r="W28" s="24"/>
      <c r="X28" s="24"/>
      <c r="Y28" s="24"/>
      <c r="Z28" s="24"/>
    </row>
    <row r="29" ht="14.25" hidden="1" customHeight="1">
      <c r="A29" s="253" t="s">
        <v>675</v>
      </c>
      <c r="B29" s="253" t="s">
        <v>676</v>
      </c>
      <c r="C29" s="254">
        <v>0.0</v>
      </c>
      <c r="D29" s="254">
        <v>0.0</v>
      </c>
      <c r="E29" s="254">
        <v>0.0</v>
      </c>
      <c r="F29" s="254">
        <v>780.0</v>
      </c>
      <c r="G29" s="254">
        <v>780.0</v>
      </c>
      <c r="H29" s="254">
        <v>0.0</v>
      </c>
      <c r="I29" s="254">
        <v>0.0</v>
      </c>
      <c r="J29" s="254">
        <v>0.0</v>
      </c>
      <c r="K29" s="254">
        <v>0.0</v>
      </c>
      <c r="L29" s="254">
        <v>0.0</v>
      </c>
      <c r="M29" s="254">
        <v>0.0</v>
      </c>
      <c r="N29" s="254">
        <v>0.0</v>
      </c>
      <c r="O29" s="251">
        <f t="shared" si="1"/>
        <v>0</v>
      </c>
      <c r="P29" s="254">
        <f t="shared" si="2"/>
        <v>1560</v>
      </c>
      <c r="Q29" s="255"/>
      <c r="R29" s="24"/>
      <c r="S29" s="24"/>
      <c r="T29" s="24"/>
      <c r="U29" s="24"/>
      <c r="V29" s="24"/>
      <c r="W29" s="24"/>
      <c r="X29" s="24"/>
      <c r="Y29" s="24"/>
      <c r="Z29" s="24"/>
    </row>
    <row r="30" ht="14.25" hidden="1" customHeight="1">
      <c r="A30" s="250" t="s">
        <v>678</v>
      </c>
      <c r="B30" s="250" t="s">
        <v>679</v>
      </c>
      <c r="C30" s="251">
        <v>23681.4</v>
      </c>
      <c r="D30" s="251">
        <v>22805.95</v>
      </c>
      <c r="E30" s="251">
        <v>15330.410000000002</v>
      </c>
      <c r="F30" s="251">
        <v>0.0</v>
      </c>
      <c r="G30" s="251">
        <v>0.0</v>
      </c>
      <c r="H30" s="251">
        <v>0.0</v>
      </c>
      <c r="I30" s="251">
        <v>0.0</v>
      </c>
      <c r="J30" s="251">
        <v>0.0</v>
      </c>
      <c r="K30" s="251">
        <v>0.0</v>
      </c>
      <c r="L30" s="251">
        <v>0.0</v>
      </c>
      <c r="M30" s="251">
        <v>0.0</v>
      </c>
      <c r="N30" s="251">
        <v>0.0</v>
      </c>
      <c r="O30" s="251">
        <f t="shared" si="1"/>
        <v>0</v>
      </c>
      <c r="P30" s="251">
        <f t="shared" si="2"/>
        <v>61817.76</v>
      </c>
      <c r="Q30" s="255"/>
      <c r="R30" s="24"/>
      <c r="S30" s="24"/>
      <c r="T30" s="24"/>
      <c r="U30" s="24"/>
      <c r="V30" s="24"/>
      <c r="W30" s="24"/>
      <c r="X30" s="24"/>
      <c r="Y30" s="24"/>
      <c r="Z30" s="24"/>
    </row>
    <row r="31" ht="14.25" hidden="1" customHeight="1">
      <c r="A31" s="253" t="s">
        <v>680</v>
      </c>
      <c r="B31" s="253" t="s">
        <v>681</v>
      </c>
      <c r="C31" s="254">
        <v>0.0</v>
      </c>
      <c r="D31" s="254">
        <v>0.0</v>
      </c>
      <c r="E31" s="254">
        <v>0.0</v>
      </c>
      <c r="F31" s="254">
        <v>322934.27</v>
      </c>
      <c r="G31" s="254">
        <v>292468.46</v>
      </c>
      <c r="H31" s="254">
        <v>359427.34</v>
      </c>
      <c r="I31" s="254">
        <v>357921.38</v>
      </c>
      <c r="J31" s="254">
        <v>384212.24</v>
      </c>
      <c r="K31" s="254">
        <v>441665.85</v>
      </c>
      <c r="L31" s="254">
        <v>467481.52</v>
      </c>
      <c r="M31" s="254">
        <v>493384.64</v>
      </c>
      <c r="N31" s="254">
        <v>517622.55</v>
      </c>
      <c r="O31" s="251">
        <f t="shared" si="1"/>
        <v>24237.91</v>
      </c>
      <c r="P31" s="254">
        <f t="shared" si="2"/>
        <v>3119495.7</v>
      </c>
      <c r="Q31" s="255">
        <f>P31/P2</f>
        <v>0.1600920652</v>
      </c>
      <c r="R31" s="24">
        <v>466721.89</v>
      </c>
      <c r="S31" s="24"/>
      <c r="T31" s="24"/>
      <c r="U31" s="24"/>
      <c r="V31" s="24"/>
      <c r="W31" s="24"/>
      <c r="X31" s="24"/>
      <c r="Y31" s="24"/>
      <c r="Z31" s="24"/>
    </row>
    <row r="32" ht="14.25" hidden="1" customHeight="1">
      <c r="A32" s="250" t="s">
        <v>682</v>
      </c>
      <c r="B32" s="250" t="s">
        <v>380</v>
      </c>
      <c r="C32" s="251">
        <v>297917.8</v>
      </c>
      <c r="D32" s="251">
        <v>252772.9</v>
      </c>
      <c r="E32" s="251">
        <v>263222.53</v>
      </c>
      <c r="F32" s="251">
        <v>5420.8</v>
      </c>
      <c r="G32" s="251">
        <v>0.0</v>
      </c>
      <c r="H32" s="251">
        <v>0.0</v>
      </c>
      <c r="I32" s="251">
        <v>0.0</v>
      </c>
      <c r="J32" s="251">
        <v>0.0</v>
      </c>
      <c r="K32" s="251">
        <v>0.0</v>
      </c>
      <c r="L32" s="251">
        <v>0.0</v>
      </c>
      <c r="M32" s="251">
        <v>0.0</v>
      </c>
      <c r="N32" s="251">
        <v>0.0</v>
      </c>
      <c r="O32" s="251">
        <f t="shared" si="1"/>
        <v>0</v>
      </c>
      <c r="P32" s="251">
        <f t="shared" si="2"/>
        <v>819334.03</v>
      </c>
      <c r="Q32" s="255"/>
      <c r="R32" s="254">
        <f>L31-R31</f>
        <v>759.63</v>
      </c>
      <c r="S32" s="24"/>
      <c r="T32" s="24"/>
      <c r="U32" s="24"/>
      <c r="V32" s="24"/>
      <c r="W32" s="24"/>
      <c r="X32" s="24"/>
      <c r="Y32" s="24"/>
      <c r="Z32" s="24"/>
    </row>
    <row r="33" ht="14.25" hidden="1" customHeight="1">
      <c r="A33" s="253" t="s">
        <v>683</v>
      </c>
      <c r="B33" s="253" t="s">
        <v>684</v>
      </c>
      <c r="C33" s="254">
        <v>1337.2499999999998</v>
      </c>
      <c r="D33" s="254">
        <v>868.0999999999999</v>
      </c>
      <c r="E33" s="254">
        <v>-1260.57</v>
      </c>
      <c r="F33" s="254">
        <v>1921.4099999999999</v>
      </c>
      <c r="G33" s="254">
        <v>1804.03</v>
      </c>
      <c r="H33" s="254">
        <v>3201.7</v>
      </c>
      <c r="I33" s="254">
        <v>0.0</v>
      </c>
      <c r="J33" s="254">
        <v>0.0</v>
      </c>
      <c r="K33" s="254">
        <v>0.0</v>
      </c>
      <c r="L33" s="254">
        <v>0.0</v>
      </c>
      <c r="M33" s="254">
        <v>0.0</v>
      </c>
      <c r="N33" s="254">
        <v>0.0</v>
      </c>
      <c r="O33" s="251">
        <f t="shared" si="1"/>
        <v>0</v>
      </c>
      <c r="P33" s="254">
        <f t="shared" si="2"/>
        <v>7871.92</v>
      </c>
      <c r="Q33" s="255"/>
      <c r="R33" s="24"/>
      <c r="S33" s="24"/>
      <c r="T33" s="24"/>
      <c r="U33" s="24"/>
      <c r="V33" s="24"/>
      <c r="W33" s="24"/>
      <c r="X33" s="24"/>
      <c r="Y33" s="24"/>
      <c r="Z33" s="24"/>
    </row>
    <row r="34" ht="14.25" hidden="1" customHeight="1">
      <c r="A34" s="250"/>
      <c r="B34" s="250" t="s">
        <v>66</v>
      </c>
      <c r="C34" s="251">
        <v>702446.32</v>
      </c>
      <c r="D34" s="251">
        <v>929528.82</v>
      </c>
      <c r="E34" s="251">
        <v>612411.27</v>
      </c>
      <c r="F34" s="251">
        <v>1004149.2500000001</v>
      </c>
      <c r="G34" s="251">
        <v>959625.1900000001</v>
      </c>
      <c r="H34" s="251">
        <v>1060352.37</v>
      </c>
      <c r="I34" s="251">
        <v>0.0</v>
      </c>
      <c r="J34" s="251">
        <v>0.0</v>
      </c>
      <c r="K34" s="251">
        <v>1178469.63</v>
      </c>
      <c r="L34" s="251">
        <v>1242902.2399999998</v>
      </c>
      <c r="M34" s="251">
        <v>1254922.14</v>
      </c>
      <c r="N34" s="251">
        <v>1100139.9300000002</v>
      </c>
      <c r="O34" s="251">
        <f t="shared" si="1"/>
        <v>-154782.21</v>
      </c>
      <c r="P34" s="251">
        <f t="shared" si="2"/>
        <v>8944807.23</v>
      </c>
      <c r="Q34" s="255"/>
      <c r="R34" s="24"/>
      <c r="S34" s="24"/>
      <c r="T34" s="24"/>
      <c r="U34" s="24"/>
      <c r="V34" s="24"/>
      <c r="W34" s="24"/>
      <c r="X34" s="24"/>
      <c r="Y34" s="24"/>
      <c r="Z34" s="24"/>
    </row>
    <row r="35" ht="14.25" customHeight="1">
      <c r="A35" s="253" t="s">
        <v>686</v>
      </c>
      <c r="B35" s="253" t="s">
        <v>63</v>
      </c>
      <c r="C35" s="254">
        <v>382452.09</v>
      </c>
      <c r="D35" s="254">
        <v>650221.45</v>
      </c>
      <c r="E35" s="254">
        <v>424546.42</v>
      </c>
      <c r="F35" s="254">
        <v>516942.12</v>
      </c>
      <c r="G35" s="254">
        <v>505698.27</v>
      </c>
      <c r="H35" s="254">
        <v>638665.28</v>
      </c>
      <c r="I35" s="254">
        <v>656839.2699999999</v>
      </c>
      <c r="J35" s="254">
        <v>542596.67</v>
      </c>
      <c r="K35" s="254">
        <v>618084.29</v>
      </c>
      <c r="L35" s="254">
        <v>546690.56</v>
      </c>
      <c r="M35" s="254">
        <v>587559.45</v>
      </c>
      <c r="N35" s="254">
        <v>564986.37</v>
      </c>
      <c r="O35" s="251">
        <f t="shared" si="1"/>
        <v>-22573.08</v>
      </c>
      <c r="P35" s="254">
        <f t="shared" si="2"/>
        <v>6070295.87</v>
      </c>
      <c r="Q35" s="255"/>
      <c r="R35" s="24"/>
      <c r="S35" s="24"/>
      <c r="T35" s="24"/>
      <c r="U35" s="24"/>
      <c r="V35" s="24"/>
      <c r="W35" s="24"/>
      <c r="X35" s="24"/>
      <c r="Y35" s="24"/>
      <c r="Z35" s="24"/>
    </row>
    <row r="36" ht="14.25" hidden="1" customHeight="1">
      <c r="A36" s="250" t="s">
        <v>687</v>
      </c>
      <c r="B36" s="250" t="s">
        <v>688</v>
      </c>
      <c r="C36" s="251">
        <v>378622.09</v>
      </c>
      <c r="D36" s="251">
        <v>641868.66</v>
      </c>
      <c r="E36" s="251">
        <v>416957.3</v>
      </c>
      <c r="F36" s="251">
        <v>509069.16</v>
      </c>
      <c r="G36" s="251">
        <v>499999.15</v>
      </c>
      <c r="H36" s="251">
        <v>631621.7200000001</v>
      </c>
      <c r="I36" s="251">
        <v>648355.57</v>
      </c>
      <c r="J36" s="251">
        <v>536655.78</v>
      </c>
      <c r="K36" s="251">
        <v>613589.2100000001</v>
      </c>
      <c r="L36" s="251">
        <v>541078.0700000001</v>
      </c>
      <c r="M36" s="251">
        <v>581984.04</v>
      </c>
      <c r="N36" s="251">
        <v>562689.67</v>
      </c>
      <c r="O36" s="251">
        <f t="shared" si="1"/>
        <v>-19294.37</v>
      </c>
      <c r="P36" s="251">
        <f t="shared" si="2"/>
        <v>5999800.75</v>
      </c>
      <c r="Q36" s="252">
        <f>P36/P8</f>
        <v>0.3298612584</v>
      </c>
      <c r="R36" s="262">
        <f t="shared" ref="R36:S36" si="3">L36/L8</f>
        <v>0.2848080778</v>
      </c>
      <c r="S36" s="262">
        <f t="shared" si="3"/>
        <v>0.3102673893</v>
      </c>
      <c r="T36" s="24"/>
      <c r="U36" s="24"/>
      <c r="V36" s="24"/>
      <c r="W36" s="24"/>
      <c r="X36" s="24"/>
      <c r="Y36" s="24"/>
      <c r="Z36" s="24"/>
    </row>
    <row r="37" ht="14.25" hidden="1" customHeight="1">
      <c r="A37" s="253" t="s">
        <v>689</v>
      </c>
      <c r="B37" s="253" t="s">
        <v>690</v>
      </c>
      <c r="C37" s="254">
        <v>0.0</v>
      </c>
      <c r="D37" s="254">
        <v>0.0</v>
      </c>
      <c r="E37" s="254">
        <v>0.0</v>
      </c>
      <c r="F37" s="254">
        <v>0.0</v>
      </c>
      <c r="G37" s="254">
        <v>0.0</v>
      </c>
      <c r="H37" s="254">
        <v>-10112.62</v>
      </c>
      <c r="I37" s="254">
        <v>-17148.08</v>
      </c>
      <c r="J37" s="254">
        <v>-12658.24</v>
      </c>
      <c r="K37" s="254">
        <v>-9407.27</v>
      </c>
      <c r="L37" s="254">
        <v>-10014.51</v>
      </c>
      <c r="M37" s="254">
        <v>-9942.41</v>
      </c>
      <c r="N37" s="254">
        <v>-10638.01</v>
      </c>
      <c r="O37" s="251">
        <f t="shared" si="1"/>
        <v>-695.6</v>
      </c>
      <c r="P37" s="254">
        <f t="shared" si="2"/>
        <v>-69283.13</v>
      </c>
      <c r="Q37" s="255"/>
      <c r="R37" s="24"/>
      <c r="S37" s="24"/>
      <c r="T37" s="24"/>
      <c r="U37" s="24"/>
      <c r="V37" s="24"/>
      <c r="W37" s="24"/>
      <c r="X37" s="24"/>
      <c r="Y37" s="24"/>
      <c r="Z37" s="24"/>
    </row>
    <row r="38" ht="14.25" hidden="1" customHeight="1">
      <c r="A38" s="250" t="s">
        <v>691</v>
      </c>
      <c r="B38" s="250" t="s">
        <v>634</v>
      </c>
      <c r="C38" s="251">
        <v>16836.49</v>
      </c>
      <c r="D38" s="251">
        <v>19601.83</v>
      </c>
      <c r="E38" s="251">
        <v>0.0</v>
      </c>
      <c r="F38" s="251">
        <v>6978.85</v>
      </c>
      <c r="G38" s="251">
        <v>5961.03</v>
      </c>
      <c r="H38" s="251">
        <v>17444.75</v>
      </c>
      <c r="I38" s="251">
        <v>10472.1</v>
      </c>
      <c r="J38" s="251">
        <v>9674.0</v>
      </c>
      <c r="K38" s="251">
        <v>8678.67</v>
      </c>
      <c r="L38" s="251">
        <v>9710.94</v>
      </c>
      <c r="M38" s="251">
        <v>9228.55</v>
      </c>
      <c r="N38" s="251">
        <v>10395.65</v>
      </c>
      <c r="O38" s="251">
        <f t="shared" si="1"/>
        <v>1167.1</v>
      </c>
      <c r="P38" s="251">
        <f t="shared" si="2"/>
        <v>114587.21</v>
      </c>
      <c r="Q38" s="255"/>
      <c r="R38" s="24"/>
      <c r="S38" s="24"/>
      <c r="T38" s="24"/>
      <c r="U38" s="24"/>
      <c r="V38" s="24"/>
      <c r="W38" s="24"/>
      <c r="X38" s="24"/>
      <c r="Y38" s="24"/>
      <c r="Z38" s="24"/>
    </row>
    <row r="39" ht="14.25" hidden="1" customHeight="1">
      <c r="A39" s="253" t="s">
        <v>692</v>
      </c>
      <c r="B39" s="253" t="s">
        <v>693</v>
      </c>
      <c r="C39" s="254">
        <v>6156.0</v>
      </c>
      <c r="D39" s="254">
        <v>6414.23</v>
      </c>
      <c r="E39" s="254">
        <v>8692.82</v>
      </c>
      <c r="F39" s="254">
        <v>6883.56</v>
      </c>
      <c r="G39" s="254">
        <v>10551.6</v>
      </c>
      <c r="H39" s="254">
        <v>6156.0</v>
      </c>
      <c r="I39" s="254">
        <v>4528.8</v>
      </c>
      <c r="J39" s="254">
        <v>4374.0</v>
      </c>
      <c r="K39" s="254">
        <v>4957.2</v>
      </c>
      <c r="L39" s="254">
        <v>4957.2</v>
      </c>
      <c r="M39" s="254">
        <v>7126.2</v>
      </c>
      <c r="N39" s="254">
        <v>5439.66</v>
      </c>
      <c r="O39" s="251">
        <f t="shared" si="1"/>
        <v>-1686.54</v>
      </c>
      <c r="P39" s="254">
        <f t="shared" si="2"/>
        <v>70797.61</v>
      </c>
      <c r="Q39" s="255"/>
      <c r="R39" s="24"/>
      <c r="S39" s="24"/>
      <c r="T39" s="24"/>
      <c r="U39" s="24"/>
      <c r="V39" s="24"/>
      <c r="W39" s="24"/>
      <c r="X39" s="24"/>
      <c r="Y39" s="24"/>
      <c r="Z39" s="24"/>
    </row>
    <row r="40" ht="14.25" hidden="1" customHeight="1">
      <c r="A40" s="250" t="s">
        <v>694</v>
      </c>
      <c r="B40" s="250" t="s">
        <v>695</v>
      </c>
      <c r="C40" s="251">
        <v>66215.21</v>
      </c>
      <c r="D40" s="251">
        <v>64715.21</v>
      </c>
      <c r="E40" s="251">
        <v>64715.21</v>
      </c>
      <c r="F40" s="251">
        <v>75453.03</v>
      </c>
      <c r="G40" s="251">
        <v>71486.36</v>
      </c>
      <c r="H40" s="251">
        <v>70086.36</v>
      </c>
      <c r="I40" s="251">
        <v>72906.23</v>
      </c>
      <c r="J40" s="251">
        <v>72228.76</v>
      </c>
      <c r="K40" s="251">
        <v>66728.76</v>
      </c>
      <c r="L40" s="251">
        <v>70767.16</v>
      </c>
      <c r="M40" s="251">
        <v>70767.16</v>
      </c>
      <c r="N40" s="251">
        <v>70767.16</v>
      </c>
      <c r="O40" s="251">
        <f t="shared" si="1"/>
        <v>0</v>
      </c>
      <c r="P40" s="251">
        <f t="shared" si="2"/>
        <v>766069.45</v>
      </c>
      <c r="Q40" s="255"/>
      <c r="R40" s="24"/>
      <c r="S40" s="24"/>
      <c r="T40" s="24"/>
      <c r="U40" s="24"/>
      <c r="V40" s="24"/>
      <c r="W40" s="24"/>
      <c r="X40" s="24"/>
      <c r="Y40" s="24"/>
      <c r="Z40" s="24"/>
    </row>
    <row r="41" ht="14.25" hidden="1" customHeight="1">
      <c r="A41" s="253" t="s">
        <v>696</v>
      </c>
      <c r="B41" s="253" t="s">
        <v>697</v>
      </c>
      <c r="C41" s="254">
        <v>0.0</v>
      </c>
      <c r="D41" s="254">
        <v>0.0</v>
      </c>
      <c r="E41" s="254">
        <v>0.0</v>
      </c>
      <c r="F41" s="254">
        <v>3965.19</v>
      </c>
      <c r="G41" s="254">
        <v>2475.81</v>
      </c>
      <c r="H41" s="254">
        <v>3228.82</v>
      </c>
      <c r="I41" s="254">
        <v>2527.56</v>
      </c>
      <c r="J41" s="254">
        <v>2284.91</v>
      </c>
      <c r="K41" s="254">
        <v>7310.18</v>
      </c>
      <c r="L41" s="254">
        <v>7571.81</v>
      </c>
      <c r="M41" s="254">
        <v>10497.64</v>
      </c>
      <c r="N41" s="254">
        <v>2732.91</v>
      </c>
      <c r="O41" s="251">
        <f t="shared" si="1"/>
        <v>-7764.73</v>
      </c>
      <c r="P41" s="254">
        <f t="shared" si="2"/>
        <v>39861.92</v>
      </c>
      <c r="Q41" s="255"/>
      <c r="R41" s="24"/>
      <c r="S41" s="24"/>
      <c r="T41" s="24"/>
      <c r="U41" s="24"/>
      <c r="V41" s="24"/>
      <c r="W41" s="24"/>
      <c r="X41" s="24"/>
      <c r="Y41" s="24"/>
      <c r="Z41" s="24"/>
    </row>
    <row r="42" ht="14.25" hidden="1" customHeight="1">
      <c r="A42" s="250" t="s">
        <v>264</v>
      </c>
      <c r="B42" s="250" t="s">
        <v>265</v>
      </c>
      <c r="C42" s="251">
        <v>5610.0</v>
      </c>
      <c r="D42" s="251">
        <v>0.0</v>
      </c>
      <c r="E42" s="251">
        <v>0.0</v>
      </c>
      <c r="F42" s="251">
        <v>0.0</v>
      </c>
      <c r="G42" s="251">
        <v>0.0</v>
      </c>
      <c r="H42" s="251">
        <v>0.0</v>
      </c>
      <c r="I42" s="251">
        <v>0.0</v>
      </c>
      <c r="J42" s="251">
        <v>0.0</v>
      </c>
      <c r="K42" s="251">
        <v>0.0</v>
      </c>
      <c r="L42" s="251">
        <v>0.0</v>
      </c>
      <c r="M42" s="251">
        <v>0.0</v>
      </c>
      <c r="N42" s="251">
        <v>0.0</v>
      </c>
      <c r="O42" s="251">
        <f t="shared" si="1"/>
        <v>0</v>
      </c>
      <c r="P42" s="251">
        <f t="shared" si="2"/>
        <v>5610</v>
      </c>
      <c r="Q42" s="255"/>
      <c r="R42" s="24"/>
      <c r="S42" s="24"/>
      <c r="T42" s="24"/>
      <c r="U42" s="24"/>
      <c r="V42" s="24"/>
      <c r="W42" s="24"/>
      <c r="X42" s="24"/>
      <c r="Y42" s="24"/>
      <c r="Z42" s="24"/>
    </row>
    <row r="43" ht="14.25" hidden="1" customHeight="1">
      <c r="A43" s="253" t="s">
        <v>698</v>
      </c>
      <c r="B43" s="253" t="s">
        <v>699</v>
      </c>
      <c r="C43" s="254">
        <v>0.0</v>
      </c>
      <c r="D43" s="254">
        <v>0.0</v>
      </c>
      <c r="E43" s="254">
        <v>0.0</v>
      </c>
      <c r="F43" s="254">
        <v>12379.35</v>
      </c>
      <c r="G43" s="254">
        <v>8012.129999999999</v>
      </c>
      <c r="H43" s="254">
        <v>26231.96</v>
      </c>
      <c r="I43" s="254">
        <v>26210.01</v>
      </c>
      <c r="J43" s="254">
        <v>26113.69</v>
      </c>
      <c r="K43" s="254">
        <v>26513.05</v>
      </c>
      <c r="L43" s="254">
        <v>23469.61</v>
      </c>
      <c r="M43" s="254">
        <v>23641.12</v>
      </c>
      <c r="N43" s="254">
        <v>21830.53</v>
      </c>
      <c r="O43" s="251">
        <f t="shared" si="1"/>
        <v>-1810.59</v>
      </c>
      <c r="P43" s="254">
        <f t="shared" si="2"/>
        <v>172570.92</v>
      </c>
      <c r="Q43" s="255"/>
      <c r="R43" s="24"/>
      <c r="S43" s="24"/>
      <c r="T43" s="24"/>
      <c r="U43" s="24"/>
      <c r="V43" s="24"/>
      <c r="W43" s="24"/>
      <c r="X43" s="24"/>
      <c r="Y43" s="24"/>
      <c r="Z43" s="24"/>
    </row>
    <row r="44" ht="14.25" hidden="1" customHeight="1">
      <c r="A44" s="250" t="s">
        <v>700</v>
      </c>
      <c r="B44" s="250" t="s">
        <v>647</v>
      </c>
      <c r="C44" s="251">
        <v>0.0</v>
      </c>
      <c r="D44" s="251">
        <v>0.0</v>
      </c>
      <c r="E44" s="251">
        <v>0.0</v>
      </c>
      <c r="F44" s="251">
        <v>196.88</v>
      </c>
      <c r="G44" s="251">
        <v>393.76</v>
      </c>
      <c r="H44" s="251">
        <v>1771.92</v>
      </c>
      <c r="I44" s="251">
        <v>1608.82</v>
      </c>
      <c r="J44" s="251">
        <v>1012.55</v>
      </c>
      <c r="K44" s="251">
        <v>810.04</v>
      </c>
      <c r="L44" s="251">
        <v>810.04</v>
      </c>
      <c r="M44" s="251">
        <v>810.04</v>
      </c>
      <c r="N44" s="251">
        <v>810.04</v>
      </c>
      <c r="O44" s="251">
        <f t="shared" si="1"/>
        <v>0</v>
      </c>
      <c r="P44" s="251">
        <f t="shared" si="2"/>
        <v>7414.05</v>
      </c>
      <c r="Q44" s="255"/>
      <c r="R44" s="24"/>
      <c r="S44" s="24"/>
      <c r="T44" s="24"/>
      <c r="U44" s="24"/>
      <c r="V44" s="24"/>
      <c r="W44" s="24"/>
      <c r="X44" s="24"/>
      <c r="Y44" s="24"/>
      <c r="Z44" s="24"/>
    </row>
    <row r="45" ht="14.25" customHeight="1">
      <c r="A45" s="250" t="s">
        <v>701</v>
      </c>
      <c r="B45" s="250" t="s">
        <v>641</v>
      </c>
      <c r="C45" s="251">
        <v>0.0</v>
      </c>
      <c r="D45" s="251">
        <v>0.0</v>
      </c>
      <c r="E45" s="251">
        <v>0.0</v>
      </c>
      <c r="F45" s="251">
        <v>0.0</v>
      </c>
      <c r="G45" s="251">
        <v>0.0</v>
      </c>
      <c r="H45" s="251">
        <v>3204.0</v>
      </c>
      <c r="I45" s="251">
        <v>0.0</v>
      </c>
      <c r="J45" s="251">
        <v>0.0</v>
      </c>
      <c r="K45" s="251">
        <v>0.0</v>
      </c>
      <c r="L45" s="251">
        <v>0.0</v>
      </c>
      <c r="M45" s="251">
        <v>0.0</v>
      </c>
      <c r="N45" s="251">
        <v>46670.28</v>
      </c>
      <c r="O45" s="251">
        <f t="shared" si="1"/>
        <v>46670.28</v>
      </c>
      <c r="P45" s="251">
        <f t="shared" si="2"/>
        <v>3204</v>
      </c>
      <c r="Q45" s="266"/>
      <c r="R45" s="268"/>
      <c r="S45" s="268"/>
      <c r="T45" s="268"/>
      <c r="U45" s="268"/>
      <c r="V45" s="268"/>
      <c r="W45" s="268"/>
      <c r="X45" s="268"/>
      <c r="Y45" s="268"/>
      <c r="Z45" s="268"/>
    </row>
    <row r="46" ht="14.25" hidden="1" customHeight="1">
      <c r="A46" s="250" t="s">
        <v>702</v>
      </c>
      <c r="B46" s="250" t="s">
        <v>703</v>
      </c>
      <c r="C46" s="251">
        <v>0.0</v>
      </c>
      <c r="D46" s="251">
        <v>0.0</v>
      </c>
      <c r="E46" s="251">
        <v>0.0</v>
      </c>
      <c r="F46" s="251">
        <v>849.0</v>
      </c>
      <c r="G46" s="251">
        <v>2768.03</v>
      </c>
      <c r="H46" s="251">
        <v>463.5</v>
      </c>
      <c r="I46" s="251">
        <v>1501.43</v>
      </c>
      <c r="J46" s="251">
        <v>319.92</v>
      </c>
      <c r="K46" s="251">
        <v>7794.35</v>
      </c>
      <c r="L46" s="251">
        <v>0.0</v>
      </c>
      <c r="M46" s="251">
        <v>7975.16</v>
      </c>
      <c r="N46" s="251">
        <v>547.1</v>
      </c>
      <c r="O46" s="251">
        <f t="shared" si="1"/>
        <v>-7428.06</v>
      </c>
      <c r="P46" s="251">
        <f t="shared" si="2"/>
        <v>21671.39</v>
      </c>
      <c r="Q46" s="255"/>
      <c r="R46" s="24"/>
      <c r="S46" s="24"/>
      <c r="T46" s="24"/>
      <c r="U46" s="24"/>
      <c r="V46" s="24"/>
      <c r="W46" s="24"/>
      <c r="X46" s="24"/>
      <c r="Y46" s="24"/>
      <c r="Z46" s="24"/>
    </row>
    <row r="47" ht="14.25" customHeight="1">
      <c r="A47" s="253" t="s">
        <v>705</v>
      </c>
      <c r="B47" s="253" t="s">
        <v>706</v>
      </c>
      <c r="C47" s="254">
        <v>0.0</v>
      </c>
      <c r="D47" s="254">
        <v>0.0</v>
      </c>
      <c r="E47" s="254">
        <v>0.0</v>
      </c>
      <c r="F47" s="254">
        <v>0.0</v>
      </c>
      <c r="G47" s="254">
        <v>0.0</v>
      </c>
      <c r="H47" s="254">
        <v>4229.27</v>
      </c>
      <c r="I47" s="254">
        <v>-1774.24</v>
      </c>
      <c r="J47" s="254">
        <v>8318.52</v>
      </c>
      <c r="K47" s="254">
        <v>0.0</v>
      </c>
      <c r="L47" s="254">
        <v>2808.74</v>
      </c>
      <c r="M47" s="254">
        <v>0.0</v>
      </c>
      <c r="N47" s="254">
        <v>2212.32</v>
      </c>
      <c r="O47" s="251">
        <f t="shared" si="1"/>
        <v>2212.32</v>
      </c>
      <c r="P47" s="254">
        <f t="shared" si="2"/>
        <v>13582.29</v>
      </c>
      <c r="Q47" s="266"/>
      <c r="R47" s="268"/>
      <c r="S47" s="268"/>
      <c r="T47" s="268"/>
      <c r="U47" s="268"/>
      <c r="V47" s="268"/>
      <c r="W47" s="268"/>
      <c r="X47" s="268"/>
      <c r="Y47" s="268"/>
      <c r="Z47" s="268"/>
    </row>
    <row r="48" ht="14.25" hidden="1" customHeight="1">
      <c r="A48" s="250" t="s">
        <v>708</v>
      </c>
      <c r="B48" s="250" t="s">
        <v>709</v>
      </c>
      <c r="C48" s="251">
        <v>888.24</v>
      </c>
      <c r="D48" s="251">
        <v>888.24</v>
      </c>
      <c r="E48" s="251">
        <v>888.24</v>
      </c>
      <c r="F48" s="251">
        <v>1954.8</v>
      </c>
      <c r="G48" s="251">
        <v>977.4</v>
      </c>
      <c r="H48" s="251">
        <v>0.0</v>
      </c>
      <c r="I48" s="251">
        <v>1954.8</v>
      </c>
      <c r="J48" s="251">
        <v>977.4</v>
      </c>
      <c r="K48" s="251">
        <v>977.4</v>
      </c>
      <c r="L48" s="251">
        <v>0.0</v>
      </c>
      <c r="M48" s="251">
        <v>0.0</v>
      </c>
      <c r="N48" s="251">
        <v>0.0</v>
      </c>
      <c r="O48" s="251">
        <f t="shared" si="1"/>
        <v>0</v>
      </c>
      <c r="P48" s="251">
        <f t="shared" si="2"/>
        <v>9506.52</v>
      </c>
      <c r="Q48" s="255"/>
      <c r="R48" s="24"/>
      <c r="S48" s="24"/>
      <c r="T48" s="24"/>
      <c r="U48" s="24"/>
      <c r="V48" s="24"/>
      <c r="W48" s="24"/>
      <c r="X48" s="24"/>
      <c r="Y48" s="24"/>
      <c r="Z48" s="24"/>
    </row>
    <row r="49" ht="14.25" hidden="1" customHeight="1">
      <c r="A49" s="253" t="s">
        <v>710</v>
      </c>
      <c r="B49" s="253" t="s">
        <v>711</v>
      </c>
      <c r="C49" s="254">
        <v>0.0</v>
      </c>
      <c r="D49" s="254">
        <v>0.0</v>
      </c>
      <c r="E49" s="254">
        <v>0.0</v>
      </c>
      <c r="F49" s="254">
        <v>1031.29</v>
      </c>
      <c r="G49" s="254">
        <v>0.0</v>
      </c>
      <c r="H49" s="254">
        <v>0.0</v>
      </c>
      <c r="I49" s="254">
        <v>1064.93</v>
      </c>
      <c r="J49" s="254">
        <v>412.16</v>
      </c>
      <c r="K49" s="254">
        <v>647.66</v>
      </c>
      <c r="L49" s="254">
        <v>977.54</v>
      </c>
      <c r="M49" s="254">
        <v>0.0</v>
      </c>
      <c r="N49" s="254">
        <v>138.01</v>
      </c>
      <c r="O49" s="251">
        <f t="shared" si="1"/>
        <v>138.01</v>
      </c>
      <c r="P49" s="254">
        <f t="shared" si="2"/>
        <v>4133.58</v>
      </c>
      <c r="Q49" s="255"/>
      <c r="R49" s="24"/>
      <c r="S49" s="24"/>
      <c r="T49" s="24"/>
      <c r="U49" s="24"/>
      <c r="V49" s="24"/>
      <c r="W49" s="24"/>
      <c r="X49" s="24"/>
      <c r="Y49" s="24"/>
      <c r="Z49" s="24"/>
    </row>
    <row r="50" ht="14.25" hidden="1" customHeight="1">
      <c r="A50" s="250" t="s">
        <v>712</v>
      </c>
      <c r="B50" s="250" t="s">
        <v>713</v>
      </c>
      <c r="C50" s="251">
        <v>450.0</v>
      </c>
      <c r="D50" s="251">
        <v>330.0</v>
      </c>
      <c r="E50" s="251">
        <v>0.0</v>
      </c>
      <c r="F50" s="251">
        <v>133.0</v>
      </c>
      <c r="G50" s="251">
        <v>1028.44</v>
      </c>
      <c r="H50" s="251">
        <v>417.28</v>
      </c>
      <c r="I50" s="251">
        <v>5014.1</v>
      </c>
      <c r="J50" s="251">
        <v>552.08</v>
      </c>
      <c r="K50" s="251">
        <v>39.99</v>
      </c>
      <c r="L50" s="251">
        <v>0.0</v>
      </c>
      <c r="M50" s="251">
        <v>755.86</v>
      </c>
      <c r="N50" s="251">
        <v>-70.0</v>
      </c>
      <c r="O50" s="251">
        <f t="shared" si="1"/>
        <v>-825.86</v>
      </c>
      <c r="P50" s="251">
        <f t="shared" si="2"/>
        <v>8720.75</v>
      </c>
      <c r="Q50" s="255"/>
      <c r="R50" s="24"/>
      <c r="S50" s="24"/>
      <c r="T50" s="24"/>
      <c r="U50" s="24"/>
      <c r="V50" s="24"/>
      <c r="W50" s="24"/>
      <c r="X50" s="24"/>
      <c r="Y50" s="24"/>
      <c r="Z50" s="24"/>
    </row>
    <row r="51" ht="14.25" hidden="1" customHeight="1">
      <c r="A51" s="253" t="s">
        <v>714</v>
      </c>
      <c r="B51" s="253" t="s">
        <v>715</v>
      </c>
      <c r="C51" s="254">
        <v>0.0</v>
      </c>
      <c r="D51" s="254">
        <v>0.0</v>
      </c>
      <c r="E51" s="254">
        <v>0.0</v>
      </c>
      <c r="F51" s="254">
        <v>0.0</v>
      </c>
      <c r="G51" s="254">
        <v>191.48</v>
      </c>
      <c r="H51" s="254">
        <v>160.25</v>
      </c>
      <c r="I51" s="254">
        <v>228.44</v>
      </c>
      <c r="J51" s="254">
        <v>183.8</v>
      </c>
      <c r="K51" s="254">
        <v>235.85</v>
      </c>
      <c r="L51" s="254">
        <v>292.6</v>
      </c>
      <c r="M51" s="254">
        <v>584.92</v>
      </c>
      <c r="N51" s="254">
        <v>234.11</v>
      </c>
      <c r="O51" s="251">
        <f t="shared" si="1"/>
        <v>-350.81</v>
      </c>
      <c r="P51" s="254">
        <f t="shared" si="2"/>
        <v>1877.34</v>
      </c>
      <c r="Q51" s="255"/>
      <c r="R51" s="24"/>
      <c r="S51" s="24"/>
      <c r="T51" s="24"/>
      <c r="U51" s="24"/>
      <c r="V51" s="24"/>
      <c r="W51" s="24"/>
      <c r="X51" s="24"/>
      <c r="Y51" s="24"/>
      <c r="Z51" s="24"/>
    </row>
    <row r="52" ht="14.25" customHeight="1">
      <c r="A52" s="250" t="s">
        <v>716</v>
      </c>
      <c r="B52" s="250" t="s">
        <v>717</v>
      </c>
      <c r="C52" s="251">
        <v>0.0</v>
      </c>
      <c r="D52" s="251">
        <v>757.15</v>
      </c>
      <c r="E52" s="251">
        <v>284.0</v>
      </c>
      <c r="F52" s="251">
        <v>252.0</v>
      </c>
      <c r="G52" s="251">
        <v>4253.86</v>
      </c>
      <c r="H52" s="251">
        <v>1011.57</v>
      </c>
      <c r="I52" s="251">
        <v>1494.65</v>
      </c>
      <c r="J52" s="251">
        <v>681.46</v>
      </c>
      <c r="K52" s="251">
        <v>140.0</v>
      </c>
      <c r="L52" s="251">
        <v>10721.7</v>
      </c>
      <c r="M52" s="251">
        <v>0.0</v>
      </c>
      <c r="N52" s="251">
        <v>2585.5</v>
      </c>
      <c r="O52" s="251">
        <f t="shared" si="1"/>
        <v>2585.5</v>
      </c>
      <c r="P52" s="251">
        <f t="shared" si="2"/>
        <v>19596.39</v>
      </c>
      <c r="Q52" s="266"/>
      <c r="R52" s="268"/>
      <c r="S52" s="268"/>
      <c r="T52" s="268"/>
      <c r="U52" s="268"/>
      <c r="V52" s="268"/>
      <c r="W52" s="268"/>
      <c r="X52" s="268"/>
      <c r="Y52" s="268"/>
      <c r="Z52" s="268"/>
    </row>
    <row r="53" ht="14.25" hidden="1" customHeight="1">
      <c r="A53" s="253" t="s">
        <v>718</v>
      </c>
      <c r="B53" s="253" t="s">
        <v>719</v>
      </c>
      <c r="C53" s="254">
        <v>0.0</v>
      </c>
      <c r="D53" s="254">
        <v>32.0</v>
      </c>
      <c r="E53" s="254">
        <v>77.32</v>
      </c>
      <c r="F53" s="254">
        <v>6023.42</v>
      </c>
      <c r="G53" s="254">
        <v>697.87</v>
      </c>
      <c r="H53" s="254">
        <v>7078.32</v>
      </c>
      <c r="I53" s="254">
        <v>1764.19</v>
      </c>
      <c r="J53" s="254">
        <v>1013.02</v>
      </c>
      <c r="K53" s="254">
        <v>1649.66</v>
      </c>
      <c r="L53" s="254">
        <v>5116.28</v>
      </c>
      <c r="M53" s="254">
        <v>4946.28</v>
      </c>
      <c r="N53" s="254">
        <v>2225.06</v>
      </c>
      <c r="O53" s="251">
        <f t="shared" si="1"/>
        <v>-2721.22</v>
      </c>
      <c r="P53" s="254">
        <f t="shared" si="2"/>
        <v>28398.36</v>
      </c>
      <c r="Q53" s="255"/>
      <c r="R53" s="24"/>
      <c r="S53" s="24"/>
      <c r="T53" s="24"/>
      <c r="U53" s="24"/>
      <c r="V53" s="24"/>
      <c r="W53" s="24"/>
      <c r="X53" s="24"/>
      <c r="Y53" s="24"/>
      <c r="Z53" s="24"/>
    </row>
    <row r="54" ht="14.25" hidden="1" customHeight="1">
      <c r="A54" s="250" t="s">
        <v>720</v>
      </c>
      <c r="B54" s="250" t="s">
        <v>721</v>
      </c>
      <c r="C54" s="251">
        <v>3152.09</v>
      </c>
      <c r="D54" s="251">
        <v>3440.66</v>
      </c>
      <c r="E54" s="251">
        <v>3440.66</v>
      </c>
      <c r="F54" s="251">
        <v>4755.14</v>
      </c>
      <c r="G54" s="251">
        <v>4798.84</v>
      </c>
      <c r="H54" s="251">
        <v>4798.84</v>
      </c>
      <c r="I54" s="251">
        <v>7076.58</v>
      </c>
      <c r="J54" s="251">
        <v>5215.23</v>
      </c>
      <c r="K54" s="251">
        <v>5215.23</v>
      </c>
      <c r="L54" s="251">
        <v>5215.23</v>
      </c>
      <c r="M54" s="251">
        <v>5389.92</v>
      </c>
      <c r="N54" s="251">
        <v>7234.04</v>
      </c>
      <c r="O54" s="251">
        <f t="shared" si="1"/>
        <v>1844.12</v>
      </c>
      <c r="P54" s="251">
        <f t="shared" si="2"/>
        <v>52498.42</v>
      </c>
      <c r="Q54" s="255"/>
      <c r="R54" s="24"/>
      <c r="S54" s="24"/>
      <c r="T54" s="24"/>
      <c r="U54" s="24"/>
      <c r="V54" s="24"/>
      <c r="W54" s="24"/>
      <c r="X54" s="24"/>
      <c r="Y54" s="24"/>
      <c r="Z54" s="24"/>
    </row>
    <row r="55" ht="14.25" customHeight="1">
      <c r="A55" s="253" t="s">
        <v>722</v>
      </c>
      <c r="B55" s="253" t="s">
        <v>723</v>
      </c>
      <c r="C55" s="254">
        <v>8292.53</v>
      </c>
      <c r="D55" s="254">
        <v>10263.45</v>
      </c>
      <c r="E55" s="254">
        <v>16753.59</v>
      </c>
      <c r="F55" s="254">
        <v>17619.93</v>
      </c>
      <c r="G55" s="254">
        <v>13906.9</v>
      </c>
      <c r="H55" s="254">
        <v>15025.31</v>
      </c>
      <c r="I55" s="254">
        <v>22366.01</v>
      </c>
      <c r="J55" s="254">
        <v>18008.95</v>
      </c>
      <c r="K55" s="254">
        <v>14034.57</v>
      </c>
      <c r="L55" s="254">
        <v>14920.99</v>
      </c>
      <c r="M55" s="254">
        <v>11869.73</v>
      </c>
      <c r="N55" s="254">
        <v>11807.68</v>
      </c>
      <c r="O55" s="251">
        <f t="shared" si="1"/>
        <v>-62.05</v>
      </c>
      <c r="P55" s="254">
        <f t="shared" si="2"/>
        <v>163061.96</v>
      </c>
      <c r="Q55" s="266"/>
      <c r="R55" s="268"/>
      <c r="S55" s="268"/>
      <c r="T55" s="268"/>
      <c r="U55" s="268"/>
      <c r="V55" s="268"/>
      <c r="W55" s="268"/>
      <c r="X55" s="268"/>
      <c r="Y55" s="268"/>
      <c r="Z55" s="268"/>
    </row>
    <row r="56" ht="14.25" hidden="1" customHeight="1">
      <c r="A56" s="250" t="s">
        <v>724</v>
      </c>
      <c r="B56" s="250" t="s">
        <v>194</v>
      </c>
      <c r="C56" s="251">
        <v>38131.06</v>
      </c>
      <c r="D56" s="251">
        <v>1429.87</v>
      </c>
      <c r="E56" s="251">
        <v>0.0</v>
      </c>
      <c r="F56" s="251">
        <v>9032.45</v>
      </c>
      <c r="G56" s="251">
        <v>11155.08</v>
      </c>
      <c r="H56" s="251">
        <v>10685.81</v>
      </c>
      <c r="I56" s="251">
        <v>17008.49</v>
      </c>
      <c r="J56" s="251">
        <v>16352.36</v>
      </c>
      <c r="K56" s="251">
        <v>11260.53</v>
      </c>
      <c r="L56" s="251">
        <v>13703.38</v>
      </c>
      <c r="M56" s="251">
        <v>11711.04</v>
      </c>
      <c r="N56" s="251">
        <v>16262.5</v>
      </c>
      <c r="O56" s="251">
        <f t="shared" si="1"/>
        <v>4551.46</v>
      </c>
      <c r="P56" s="251">
        <f t="shared" si="2"/>
        <v>140470.07</v>
      </c>
      <c r="Q56" s="255"/>
      <c r="R56" s="24"/>
      <c r="S56" s="24"/>
      <c r="T56" s="24"/>
      <c r="U56" s="24"/>
      <c r="V56" s="24"/>
      <c r="W56" s="24"/>
      <c r="X56" s="24"/>
      <c r="Y56" s="24"/>
      <c r="Z56" s="24"/>
    </row>
    <row r="57" ht="14.25" hidden="1" customHeight="1">
      <c r="A57" s="253" t="s">
        <v>725</v>
      </c>
      <c r="B57" s="253" t="s">
        <v>655</v>
      </c>
      <c r="C57" s="254">
        <v>4409.05</v>
      </c>
      <c r="D57" s="254">
        <v>1572.46</v>
      </c>
      <c r="E57" s="254">
        <v>3893.16</v>
      </c>
      <c r="F57" s="254">
        <v>7986.79</v>
      </c>
      <c r="G57" s="254">
        <v>7865.69</v>
      </c>
      <c r="H57" s="254">
        <v>9598.71</v>
      </c>
      <c r="I57" s="254">
        <v>10834.02</v>
      </c>
      <c r="J57" s="254">
        <v>9970.92</v>
      </c>
      <c r="K57" s="254">
        <v>9908.04</v>
      </c>
      <c r="L57" s="254">
        <v>7685.27</v>
      </c>
      <c r="M57" s="254">
        <v>14352.68</v>
      </c>
      <c r="N57" s="254">
        <v>11597.62</v>
      </c>
      <c r="O57" s="251">
        <f t="shared" si="1"/>
        <v>-2755.06</v>
      </c>
      <c r="P57" s="254">
        <f t="shared" si="2"/>
        <v>88076.79</v>
      </c>
      <c r="Q57" s="255"/>
      <c r="R57" s="24"/>
      <c r="S57" s="24"/>
      <c r="T57" s="24"/>
      <c r="U57" s="24"/>
      <c r="V57" s="24"/>
      <c r="W57" s="24"/>
      <c r="X57" s="24"/>
      <c r="Y57" s="24"/>
      <c r="Z57" s="24"/>
    </row>
    <row r="58" ht="14.25" hidden="1" customHeight="1">
      <c r="A58" s="250" t="s">
        <v>726</v>
      </c>
      <c r="B58" s="250" t="s">
        <v>727</v>
      </c>
      <c r="C58" s="251">
        <v>2078.81</v>
      </c>
      <c r="D58" s="251">
        <v>2668.2</v>
      </c>
      <c r="E58" s="251">
        <v>90.0</v>
      </c>
      <c r="F58" s="251">
        <v>1870.0</v>
      </c>
      <c r="G58" s="251">
        <v>0.0</v>
      </c>
      <c r="H58" s="251">
        <v>0.0</v>
      </c>
      <c r="I58" s="251">
        <v>0.0</v>
      </c>
      <c r="J58" s="251">
        <v>0.0</v>
      </c>
      <c r="K58" s="251">
        <v>450.0</v>
      </c>
      <c r="L58" s="251">
        <v>0.0</v>
      </c>
      <c r="M58" s="251">
        <v>0.0</v>
      </c>
      <c r="N58" s="251">
        <v>0.0</v>
      </c>
      <c r="O58" s="251">
        <f t="shared" si="1"/>
        <v>0</v>
      </c>
      <c r="P58" s="251">
        <f t="shared" si="2"/>
        <v>7157.01</v>
      </c>
      <c r="Q58" s="255"/>
      <c r="R58" s="24"/>
      <c r="S58" s="24"/>
      <c r="T58" s="24"/>
      <c r="U58" s="24"/>
      <c r="V58" s="24"/>
      <c r="W58" s="24"/>
      <c r="X58" s="24"/>
      <c r="Y58" s="24"/>
      <c r="Z58" s="24"/>
    </row>
    <row r="59" ht="14.25" hidden="1" customHeight="1">
      <c r="A59" s="253" t="s">
        <v>728</v>
      </c>
      <c r="B59" s="253" t="s">
        <v>665</v>
      </c>
      <c r="C59" s="254">
        <v>14456.48</v>
      </c>
      <c r="D59" s="254">
        <v>5155.28</v>
      </c>
      <c r="E59" s="254">
        <v>12823.68</v>
      </c>
      <c r="F59" s="254">
        <v>26835.39</v>
      </c>
      <c r="G59" s="254">
        <v>25985.69</v>
      </c>
      <c r="H59" s="254">
        <v>33268.55</v>
      </c>
      <c r="I59" s="254">
        <v>36162.1</v>
      </c>
      <c r="J59" s="254">
        <v>36872.04</v>
      </c>
      <c r="K59" s="254">
        <v>32833.41</v>
      </c>
      <c r="L59" s="254">
        <v>26413.0</v>
      </c>
      <c r="M59" s="254">
        <v>35827.66</v>
      </c>
      <c r="N59" s="254">
        <v>38780.74</v>
      </c>
      <c r="O59" s="251">
        <f t="shared" si="1"/>
        <v>2953.08</v>
      </c>
      <c r="P59" s="254">
        <f t="shared" si="2"/>
        <v>286633.28</v>
      </c>
      <c r="Q59" s="255"/>
      <c r="R59" s="24"/>
      <c r="S59" s="24"/>
      <c r="T59" s="24"/>
      <c r="U59" s="24"/>
      <c r="V59" s="24"/>
      <c r="W59" s="24"/>
      <c r="X59" s="24"/>
      <c r="Y59" s="24"/>
      <c r="Z59" s="24"/>
    </row>
    <row r="60" ht="14.25" hidden="1" customHeight="1">
      <c r="A60" s="250" t="s">
        <v>729</v>
      </c>
      <c r="B60" s="250" t="s">
        <v>730</v>
      </c>
      <c r="C60" s="251">
        <v>2303.47</v>
      </c>
      <c r="D60" s="251">
        <v>575.88</v>
      </c>
      <c r="E60" s="251">
        <v>595.52</v>
      </c>
      <c r="F60" s="251">
        <v>810.52</v>
      </c>
      <c r="G60" s="251">
        <v>639.9</v>
      </c>
      <c r="H60" s="251">
        <v>656.45</v>
      </c>
      <c r="I60" s="251">
        <v>1577.87</v>
      </c>
      <c r="J60" s="251">
        <v>600.11</v>
      </c>
      <c r="K60" s="251">
        <v>777.89</v>
      </c>
      <c r="L60" s="251">
        <v>641.26</v>
      </c>
      <c r="M60" s="251">
        <v>644.9</v>
      </c>
      <c r="N60" s="251">
        <v>644.79</v>
      </c>
      <c r="O60" s="251">
        <f t="shared" si="1"/>
        <v>-0.11</v>
      </c>
      <c r="P60" s="251">
        <f t="shared" si="2"/>
        <v>9823.77</v>
      </c>
      <c r="Q60" s="255"/>
      <c r="R60" s="24"/>
      <c r="S60" s="24"/>
      <c r="T60" s="24"/>
      <c r="U60" s="24"/>
      <c r="V60" s="24"/>
      <c r="W60" s="24"/>
      <c r="X60" s="24"/>
      <c r="Y60" s="24"/>
      <c r="Z60" s="24"/>
    </row>
    <row r="61" ht="14.25" hidden="1" customHeight="1">
      <c r="A61" s="253" t="s">
        <v>731</v>
      </c>
      <c r="B61" s="253" t="s">
        <v>732</v>
      </c>
      <c r="C61" s="254">
        <v>0.0</v>
      </c>
      <c r="D61" s="254">
        <v>0.0</v>
      </c>
      <c r="E61" s="254">
        <v>0.0</v>
      </c>
      <c r="F61" s="254">
        <v>11410.12</v>
      </c>
      <c r="G61" s="254">
        <v>25930.63</v>
      </c>
      <c r="H61" s="254">
        <v>89111.18</v>
      </c>
      <c r="I61" s="254">
        <v>52395.37</v>
      </c>
      <c r="J61" s="254">
        <v>40701.2</v>
      </c>
      <c r="K61" s="254">
        <v>100091.5</v>
      </c>
      <c r="L61" s="254">
        <v>49795.66</v>
      </c>
      <c r="M61" s="254">
        <v>46595.17</v>
      </c>
      <c r="N61" s="254">
        <v>15811.38</v>
      </c>
      <c r="O61" s="251">
        <f t="shared" si="1"/>
        <v>-30783.79</v>
      </c>
      <c r="P61" s="254">
        <f t="shared" si="2"/>
        <v>416030.83</v>
      </c>
      <c r="Q61" s="255"/>
      <c r="R61" s="24"/>
      <c r="S61" s="24"/>
      <c r="T61" s="24"/>
      <c r="U61" s="24"/>
      <c r="V61" s="24"/>
      <c r="W61" s="24"/>
      <c r="X61" s="24"/>
      <c r="Y61" s="24"/>
      <c r="Z61" s="24"/>
    </row>
    <row r="62" ht="14.25" hidden="1" customHeight="1">
      <c r="A62" s="250" t="s">
        <v>733</v>
      </c>
      <c r="B62" s="250" t="s">
        <v>734</v>
      </c>
      <c r="C62" s="251">
        <v>0.0</v>
      </c>
      <c r="D62" s="251">
        <v>0.0</v>
      </c>
      <c r="E62" s="251">
        <v>0.0</v>
      </c>
      <c r="F62" s="251">
        <v>8409.09</v>
      </c>
      <c r="G62" s="251">
        <v>3320.88</v>
      </c>
      <c r="H62" s="251">
        <v>1266.7</v>
      </c>
      <c r="I62" s="251">
        <v>4146.55</v>
      </c>
      <c r="J62" s="251">
        <v>2396.5</v>
      </c>
      <c r="K62" s="251">
        <v>4964.25</v>
      </c>
      <c r="L62" s="251">
        <v>3197.03</v>
      </c>
      <c r="M62" s="251">
        <v>6817.35</v>
      </c>
      <c r="N62" s="251">
        <v>4661.2</v>
      </c>
      <c r="O62" s="251">
        <f t="shared" si="1"/>
        <v>-2156.15</v>
      </c>
      <c r="P62" s="251">
        <f t="shared" si="2"/>
        <v>34518.35</v>
      </c>
      <c r="Q62" s="255"/>
      <c r="R62" s="24"/>
      <c r="S62" s="24"/>
      <c r="T62" s="24"/>
      <c r="U62" s="24"/>
      <c r="V62" s="24"/>
      <c r="W62" s="24"/>
      <c r="X62" s="24"/>
      <c r="Y62" s="24"/>
      <c r="Z62" s="24"/>
    </row>
    <row r="63" ht="14.25" hidden="1" customHeight="1">
      <c r="A63" s="253" t="s">
        <v>735</v>
      </c>
      <c r="B63" s="253" t="s">
        <v>736</v>
      </c>
      <c r="C63" s="254">
        <v>0.0</v>
      </c>
      <c r="D63" s="254">
        <v>0.0</v>
      </c>
      <c r="E63" s="254">
        <v>0.0</v>
      </c>
      <c r="F63" s="254">
        <v>0.0</v>
      </c>
      <c r="G63" s="254">
        <v>0.0</v>
      </c>
      <c r="H63" s="254">
        <v>0.0</v>
      </c>
      <c r="I63" s="254">
        <v>0.0</v>
      </c>
      <c r="J63" s="254">
        <v>0.0</v>
      </c>
      <c r="K63" s="254">
        <v>0.0</v>
      </c>
      <c r="L63" s="254">
        <v>110.0</v>
      </c>
      <c r="M63" s="254">
        <v>0.0</v>
      </c>
      <c r="N63" s="254">
        <v>0.0</v>
      </c>
      <c r="O63" s="251">
        <f t="shared" si="1"/>
        <v>0</v>
      </c>
      <c r="P63" s="254">
        <f t="shared" si="2"/>
        <v>110</v>
      </c>
      <c r="Q63" s="255"/>
      <c r="R63" s="24"/>
      <c r="S63" s="24"/>
      <c r="T63" s="24"/>
      <c r="U63" s="24"/>
      <c r="V63" s="24"/>
      <c r="W63" s="24"/>
      <c r="X63" s="24"/>
      <c r="Y63" s="24"/>
      <c r="Z63" s="24"/>
    </row>
    <row r="64" ht="14.25" hidden="1" customHeight="1">
      <c r="A64" s="250" t="s">
        <v>737</v>
      </c>
      <c r="B64" s="250" t="s">
        <v>738</v>
      </c>
      <c r="C64" s="251">
        <v>0.0</v>
      </c>
      <c r="D64" s="251">
        <v>0.0</v>
      </c>
      <c r="E64" s="251">
        <v>0.0</v>
      </c>
      <c r="F64" s="251">
        <v>0.0</v>
      </c>
      <c r="G64" s="251">
        <v>0.0</v>
      </c>
      <c r="H64" s="251">
        <v>0.0</v>
      </c>
      <c r="I64" s="251">
        <v>0.0</v>
      </c>
      <c r="J64" s="251">
        <v>0.0</v>
      </c>
      <c r="K64" s="251">
        <v>0.0</v>
      </c>
      <c r="L64" s="251">
        <v>500.69</v>
      </c>
      <c r="M64" s="251">
        <v>0.0</v>
      </c>
      <c r="N64" s="251">
        <v>0.0</v>
      </c>
      <c r="O64" s="251">
        <f t="shared" si="1"/>
        <v>0</v>
      </c>
      <c r="P64" s="251">
        <f t="shared" si="2"/>
        <v>500.69</v>
      </c>
      <c r="Q64" s="255"/>
      <c r="R64" s="24"/>
      <c r="S64" s="24"/>
      <c r="T64" s="24"/>
      <c r="U64" s="24"/>
      <c r="V64" s="24"/>
      <c r="W64" s="24"/>
      <c r="X64" s="24"/>
      <c r="Y64" s="24"/>
      <c r="Z64" s="24"/>
    </row>
    <row r="65" ht="14.25" hidden="1" customHeight="1">
      <c r="A65" s="253" t="s">
        <v>739</v>
      </c>
      <c r="B65" s="253" t="s">
        <v>740</v>
      </c>
      <c r="C65" s="254">
        <v>0.0</v>
      </c>
      <c r="D65" s="254">
        <v>0.0</v>
      </c>
      <c r="E65" s="254">
        <v>0.0</v>
      </c>
      <c r="F65" s="254">
        <v>0.0</v>
      </c>
      <c r="G65" s="254">
        <v>0.0</v>
      </c>
      <c r="H65" s="254">
        <v>0.0</v>
      </c>
      <c r="I65" s="254">
        <v>0.0</v>
      </c>
      <c r="J65" s="254">
        <v>0.0</v>
      </c>
      <c r="K65" s="254">
        <v>0.0</v>
      </c>
      <c r="L65" s="254">
        <v>120.15</v>
      </c>
      <c r="M65" s="254">
        <v>0.0</v>
      </c>
      <c r="N65" s="254">
        <v>0.0</v>
      </c>
      <c r="O65" s="251">
        <f t="shared" si="1"/>
        <v>0</v>
      </c>
      <c r="P65" s="254">
        <f t="shared" si="2"/>
        <v>120.15</v>
      </c>
      <c r="Q65" s="255"/>
      <c r="R65" s="24"/>
      <c r="S65" s="24"/>
      <c r="T65" s="24"/>
      <c r="U65" s="24"/>
      <c r="V65" s="24"/>
      <c r="W65" s="24"/>
      <c r="X65" s="24"/>
      <c r="Y65" s="24"/>
      <c r="Z65" s="24"/>
    </row>
    <row r="66" ht="14.25" hidden="1" customHeight="1">
      <c r="A66" s="250" t="s">
        <v>741</v>
      </c>
      <c r="B66" s="250" t="s">
        <v>742</v>
      </c>
      <c r="C66" s="251">
        <v>0.0</v>
      </c>
      <c r="D66" s="251">
        <v>106.3</v>
      </c>
      <c r="E66" s="251">
        <v>0.0</v>
      </c>
      <c r="F66" s="251">
        <v>0.0</v>
      </c>
      <c r="G66" s="251">
        <v>0.0</v>
      </c>
      <c r="H66" s="251">
        <v>0.0</v>
      </c>
      <c r="I66" s="251">
        <v>0.0</v>
      </c>
      <c r="J66" s="251">
        <v>0.0</v>
      </c>
      <c r="K66" s="251">
        <v>0.0</v>
      </c>
      <c r="L66" s="251">
        <v>0.0</v>
      </c>
      <c r="M66" s="251">
        <v>0.0</v>
      </c>
      <c r="N66" s="251">
        <v>0.0</v>
      </c>
      <c r="O66" s="251">
        <f t="shared" si="1"/>
        <v>0</v>
      </c>
      <c r="P66" s="251">
        <f t="shared" si="2"/>
        <v>106.3</v>
      </c>
      <c r="Q66" s="255"/>
      <c r="R66" s="24"/>
      <c r="S66" s="24"/>
      <c r="T66" s="24"/>
      <c r="U66" s="24"/>
      <c r="V66" s="24"/>
      <c r="W66" s="24"/>
      <c r="X66" s="24"/>
      <c r="Y66" s="24"/>
      <c r="Z66" s="24"/>
    </row>
    <row r="67" ht="14.25" hidden="1" customHeight="1">
      <c r="A67" s="253" t="s">
        <v>743</v>
      </c>
      <c r="B67" s="253" t="s">
        <v>744</v>
      </c>
      <c r="C67" s="254">
        <v>108353.66</v>
      </c>
      <c r="D67" s="254">
        <v>106723.65</v>
      </c>
      <c r="E67" s="254">
        <v>66104.57</v>
      </c>
      <c r="F67" s="254">
        <v>73773.81</v>
      </c>
      <c r="G67" s="254">
        <v>83324.51000000001</v>
      </c>
      <c r="H67" s="254">
        <v>96711.94</v>
      </c>
      <c r="I67" s="254">
        <v>107310.38</v>
      </c>
      <c r="J67" s="254">
        <v>105375.01</v>
      </c>
      <c r="K67" s="254">
        <v>97819.77</v>
      </c>
      <c r="L67" s="254">
        <v>103198.33</v>
      </c>
      <c r="M67" s="254">
        <v>103503.5</v>
      </c>
      <c r="N67" s="254">
        <v>102967.94</v>
      </c>
      <c r="O67" s="251">
        <f t="shared" si="1"/>
        <v>-535.56</v>
      </c>
      <c r="P67" s="254">
        <f t="shared" si="2"/>
        <v>1052199.13</v>
      </c>
      <c r="Q67" s="255"/>
      <c r="R67" s="24"/>
      <c r="S67" s="24"/>
      <c r="T67" s="24"/>
      <c r="U67" s="24"/>
      <c r="V67" s="24"/>
      <c r="W67" s="24"/>
      <c r="X67" s="24"/>
      <c r="Y67" s="24"/>
      <c r="Z67" s="24"/>
    </row>
    <row r="68" ht="14.25" hidden="1" customHeight="1">
      <c r="A68" s="250" t="s">
        <v>745</v>
      </c>
      <c r="B68" s="250" t="s">
        <v>746</v>
      </c>
      <c r="C68" s="251">
        <v>0.0</v>
      </c>
      <c r="D68" s="251">
        <v>0.0</v>
      </c>
      <c r="E68" s="251">
        <v>430.0</v>
      </c>
      <c r="F68" s="251">
        <v>0.0</v>
      </c>
      <c r="G68" s="251">
        <v>0.0</v>
      </c>
      <c r="H68" s="251">
        <v>0.0</v>
      </c>
      <c r="I68" s="251">
        <v>405.54</v>
      </c>
      <c r="J68" s="251">
        <v>453.01</v>
      </c>
      <c r="K68" s="251">
        <v>511.41</v>
      </c>
      <c r="L68" s="251">
        <v>0.0</v>
      </c>
      <c r="M68" s="251">
        <v>133.98</v>
      </c>
      <c r="N68" s="251">
        <v>72.97</v>
      </c>
      <c r="O68" s="251">
        <f t="shared" si="1"/>
        <v>-61.01</v>
      </c>
      <c r="P68" s="251">
        <f t="shared" si="2"/>
        <v>1933.94</v>
      </c>
      <c r="Q68" s="255"/>
      <c r="R68" s="24"/>
      <c r="S68" s="24"/>
      <c r="T68" s="24"/>
      <c r="U68" s="24"/>
      <c r="V68" s="24"/>
      <c r="W68" s="24"/>
      <c r="X68" s="24"/>
      <c r="Y68" s="24"/>
      <c r="Z68" s="24"/>
    </row>
    <row r="69" ht="14.25" hidden="1" customHeight="1">
      <c r="A69" s="253" t="s">
        <v>747</v>
      </c>
      <c r="B69" s="253" t="s">
        <v>748</v>
      </c>
      <c r="C69" s="254">
        <v>0.0</v>
      </c>
      <c r="D69" s="254">
        <v>0.0</v>
      </c>
      <c r="E69" s="254">
        <v>0.0</v>
      </c>
      <c r="F69" s="254">
        <v>9515.18</v>
      </c>
      <c r="G69" s="254">
        <v>0.0</v>
      </c>
      <c r="H69" s="254">
        <v>1839.1999999999998</v>
      </c>
      <c r="I69" s="254">
        <v>77862.06</v>
      </c>
      <c r="J69" s="254">
        <v>34250.490000000005</v>
      </c>
      <c r="K69" s="254">
        <v>67541.35</v>
      </c>
      <c r="L69" s="254">
        <v>21701.5</v>
      </c>
      <c r="M69" s="254">
        <v>50269.48</v>
      </c>
      <c r="N69" s="254">
        <v>3431.3</v>
      </c>
      <c r="O69" s="251">
        <f t="shared" si="1"/>
        <v>-46838.18</v>
      </c>
      <c r="P69" s="254">
        <f t="shared" si="2"/>
        <v>262979.26</v>
      </c>
      <c r="Q69" s="255"/>
      <c r="R69" s="24"/>
      <c r="S69" s="24"/>
      <c r="T69" s="24"/>
      <c r="U69" s="24"/>
      <c r="V69" s="24"/>
      <c r="W69" s="24"/>
      <c r="X69" s="24"/>
      <c r="Y69" s="24"/>
      <c r="Z69" s="24"/>
    </row>
    <row r="70" ht="14.25" hidden="1" customHeight="1">
      <c r="A70" s="250" t="s">
        <v>749</v>
      </c>
      <c r="B70" s="250" t="s">
        <v>750</v>
      </c>
      <c r="C70" s="251">
        <v>0.0</v>
      </c>
      <c r="D70" s="251">
        <v>0.0</v>
      </c>
      <c r="E70" s="251">
        <v>0.0</v>
      </c>
      <c r="F70" s="251">
        <v>0.0</v>
      </c>
      <c r="G70" s="251">
        <v>0.0</v>
      </c>
      <c r="H70" s="251">
        <v>0.0</v>
      </c>
      <c r="I70" s="251">
        <v>15000.0</v>
      </c>
      <c r="J70" s="251">
        <v>0.0</v>
      </c>
      <c r="K70" s="251">
        <v>0.0</v>
      </c>
      <c r="L70" s="251">
        <v>10264.0</v>
      </c>
      <c r="M70" s="251">
        <v>10689.0</v>
      </c>
      <c r="N70" s="251">
        <v>12089.0</v>
      </c>
      <c r="O70" s="251">
        <f t="shared" si="1"/>
        <v>1400</v>
      </c>
      <c r="P70" s="251">
        <f t="shared" si="2"/>
        <v>35953</v>
      </c>
      <c r="Q70" s="255"/>
      <c r="R70" s="24"/>
      <c r="S70" s="24"/>
      <c r="T70" s="24"/>
      <c r="U70" s="24"/>
      <c r="V70" s="24"/>
      <c r="W70" s="24"/>
      <c r="X70" s="24"/>
      <c r="Y70" s="24"/>
      <c r="Z70" s="24"/>
    </row>
    <row r="71" ht="14.25" hidden="1" customHeight="1">
      <c r="A71" s="253" t="s">
        <v>751</v>
      </c>
      <c r="B71" s="253" t="s">
        <v>752</v>
      </c>
      <c r="C71" s="254">
        <v>0.0</v>
      </c>
      <c r="D71" s="254">
        <v>0.0</v>
      </c>
      <c r="E71" s="254">
        <v>0.0</v>
      </c>
      <c r="F71" s="254">
        <v>0.0</v>
      </c>
      <c r="G71" s="254">
        <v>0.0</v>
      </c>
      <c r="H71" s="254">
        <v>0.0</v>
      </c>
      <c r="I71" s="254">
        <v>0.0</v>
      </c>
      <c r="J71" s="254">
        <v>6.36</v>
      </c>
      <c r="K71" s="254">
        <v>0.0</v>
      </c>
      <c r="L71" s="254">
        <v>0.0</v>
      </c>
      <c r="M71" s="254">
        <v>0.0</v>
      </c>
      <c r="N71" s="254">
        <v>0.0</v>
      </c>
      <c r="O71" s="251">
        <f t="shared" si="1"/>
        <v>0</v>
      </c>
      <c r="P71" s="254">
        <f t="shared" si="2"/>
        <v>6.36</v>
      </c>
      <c r="Q71" s="255"/>
      <c r="R71" s="24"/>
      <c r="S71" s="24"/>
      <c r="T71" s="24"/>
      <c r="U71" s="24"/>
      <c r="V71" s="24"/>
      <c r="W71" s="24"/>
      <c r="X71" s="24"/>
      <c r="Y71" s="24"/>
      <c r="Z71" s="24"/>
    </row>
    <row r="72" ht="14.25" hidden="1" customHeight="1">
      <c r="A72" s="250" t="s">
        <v>753</v>
      </c>
      <c r="B72" s="250" t="s">
        <v>754</v>
      </c>
      <c r="C72" s="251">
        <v>0.0</v>
      </c>
      <c r="D72" s="251">
        <v>0.0</v>
      </c>
      <c r="E72" s="251">
        <v>0.0</v>
      </c>
      <c r="F72" s="251">
        <v>0.0</v>
      </c>
      <c r="G72" s="251">
        <v>0.0</v>
      </c>
      <c r="H72" s="251">
        <v>0.0</v>
      </c>
      <c r="I72" s="251">
        <v>0.0</v>
      </c>
      <c r="J72" s="251">
        <v>393.39</v>
      </c>
      <c r="K72" s="251">
        <v>0.0</v>
      </c>
      <c r="L72" s="251">
        <v>0.0</v>
      </c>
      <c r="M72" s="251">
        <v>0.0</v>
      </c>
      <c r="N72" s="251">
        <v>0.0</v>
      </c>
      <c r="O72" s="251">
        <f t="shared" si="1"/>
        <v>0</v>
      </c>
      <c r="P72" s="251">
        <f t="shared" si="2"/>
        <v>393.39</v>
      </c>
      <c r="Q72" s="255"/>
      <c r="R72" s="24"/>
      <c r="S72" s="24"/>
      <c r="T72" s="24"/>
      <c r="U72" s="24"/>
      <c r="V72" s="24"/>
      <c r="W72" s="24"/>
      <c r="X72" s="24"/>
      <c r="Y72" s="24"/>
      <c r="Z72" s="24"/>
    </row>
    <row r="73" ht="14.25" hidden="1" customHeight="1">
      <c r="A73" s="253" t="s">
        <v>755</v>
      </c>
      <c r="B73" s="253" t="s">
        <v>756</v>
      </c>
      <c r="C73" s="254">
        <v>0.0</v>
      </c>
      <c r="D73" s="254">
        <v>0.0</v>
      </c>
      <c r="E73" s="254">
        <v>0.0</v>
      </c>
      <c r="F73" s="254">
        <v>0.0</v>
      </c>
      <c r="G73" s="254">
        <v>0.0</v>
      </c>
      <c r="H73" s="254">
        <v>0.0</v>
      </c>
      <c r="I73" s="254">
        <v>0.0</v>
      </c>
      <c r="J73" s="254">
        <v>478.72</v>
      </c>
      <c r="K73" s="254">
        <v>0.0</v>
      </c>
      <c r="L73" s="254">
        <v>0.0</v>
      </c>
      <c r="M73" s="254">
        <v>0.0</v>
      </c>
      <c r="N73" s="254">
        <v>3910.0</v>
      </c>
      <c r="O73" s="251">
        <f t="shared" si="1"/>
        <v>3910</v>
      </c>
      <c r="P73" s="254">
        <f t="shared" si="2"/>
        <v>478.72</v>
      </c>
      <c r="Q73" s="255"/>
      <c r="R73" s="24"/>
      <c r="S73" s="24"/>
      <c r="T73" s="24"/>
      <c r="U73" s="24"/>
      <c r="V73" s="24"/>
      <c r="W73" s="24"/>
      <c r="X73" s="24"/>
      <c r="Y73" s="24"/>
      <c r="Z73" s="24"/>
    </row>
    <row r="74" ht="14.25" hidden="1" customHeight="1">
      <c r="A74" s="250" t="s">
        <v>757</v>
      </c>
      <c r="B74" s="250" t="s">
        <v>758</v>
      </c>
      <c r="C74" s="251">
        <v>3036.0</v>
      </c>
      <c r="D74" s="251">
        <v>3036.0</v>
      </c>
      <c r="E74" s="251">
        <v>3036.0</v>
      </c>
      <c r="F74" s="251">
        <v>3036.0</v>
      </c>
      <c r="G74" s="251">
        <v>3036.0</v>
      </c>
      <c r="H74" s="251">
        <v>3036.0</v>
      </c>
      <c r="I74" s="251">
        <v>3036.0</v>
      </c>
      <c r="J74" s="251">
        <v>3036.0</v>
      </c>
      <c r="K74" s="251">
        <v>3036.0</v>
      </c>
      <c r="L74" s="251">
        <v>3036.0</v>
      </c>
      <c r="M74" s="251">
        <v>3036.0</v>
      </c>
      <c r="N74" s="251">
        <v>3036.0</v>
      </c>
      <c r="O74" s="251">
        <f t="shared" si="1"/>
        <v>0</v>
      </c>
      <c r="P74" s="251">
        <f t="shared" si="2"/>
        <v>33396</v>
      </c>
      <c r="Q74" s="255"/>
      <c r="R74" s="24"/>
      <c r="S74" s="24"/>
      <c r="T74" s="24"/>
      <c r="U74" s="24"/>
      <c r="V74" s="24"/>
      <c r="W74" s="24"/>
      <c r="X74" s="24"/>
      <c r="Y74" s="24"/>
      <c r="Z74" s="24"/>
    </row>
    <row r="75" ht="14.25" hidden="1" customHeight="1">
      <c r="A75" s="253" t="s">
        <v>759</v>
      </c>
      <c r="B75" s="253" t="s">
        <v>760</v>
      </c>
      <c r="C75" s="254">
        <v>2835.54</v>
      </c>
      <c r="D75" s="254">
        <v>754.05</v>
      </c>
      <c r="E75" s="254">
        <v>170.52</v>
      </c>
      <c r="F75" s="254">
        <v>3719.18</v>
      </c>
      <c r="G75" s="254">
        <v>499.42</v>
      </c>
      <c r="H75" s="254">
        <v>615.02</v>
      </c>
      <c r="I75" s="254">
        <v>1418.0</v>
      </c>
      <c r="J75" s="254">
        <v>644.92</v>
      </c>
      <c r="K75" s="254">
        <v>252.11</v>
      </c>
      <c r="L75" s="254">
        <v>573.78</v>
      </c>
      <c r="M75" s="254">
        <v>213.44</v>
      </c>
      <c r="N75" s="254">
        <v>3979.91</v>
      </c>
      <c r="O75" s="251">
        <f t="shared" si="1"/>
        <v>3766.47</v>
      </c>
      <c r="P75" s="254">
        <f t="shared" si="2"/>
        <v>11695.98</v>
      </c>
      <c r="Q75" s="255"/>
      <c r="R75" s="24"/>
      <c r="S75" s="24"/>
      <c r="T75" s="24"/>
      <c r="U75" s="24"/>
      <c r="V75" s="24"/>
      <c r="W75" s="24"/>
      <c r="X75" s="24"/>
      <c r="Y75" s="24"/>
      <c r="Z75" s="24"/>
    </row>
    <row r="76" ht="14.25" hidden="1" customHeight="1">
      <c r="A76" s="250" t="s">
        <v>761</v>
      </c>
      <c r="B76" s="250" t="s">
        <v>762</v>
      </c>
      <c r="C76" s="251">
        <v>0.0</v>
      </c>
      <c r="D76" s="251">
        <v>0.0</v>
      </c>
      <c r="E76" s="251">
        <v>0.0</v>
      </c>
      <c r="F76" s="251">
        <v>3750.0</v>
      </c>
      <c r="G76" s="251">
        <v>3750.0</v>
      </c>
      <c r="H76" s="251">
        <v>3750.0</v>
      </c>
      <c r="I76" s="251">
        <v>3750.0</v>
      </c>
      <c r="J76" s="251">
        <v>3750.0</v>
      </c>
      <c r="K76" s="251">
        <v>3750.0</v>
      </c>
      <c r="L76" s="251">
        <v>3750.0</v>
      </c>
      <c r="M76" s="251">
        <v>3750.0</v>
      </c>
      <c r="N76" s="251">
        <v>3750.0</v>
      </c>
      <c r="O76" s="251">
        <f t="shared" si="1"/>
        <v>0</v>
      </c>
      <c r="P76" s="251">
        <f t="shared" si="2"/>
        <v>30000</v>
      </c>
      <c r="Q76" s="255"/>
      <c r="R76" s="24"/>
      <c r="S76" s="24"/>
      <c r="T76" s="24"/>
      <c r="U76" s="24"/>
      <c r="V76" s="24"/>
      <c r="W76" s="24"/>
      <c r="X76" s="24"/>
      <c r="Y76" s="24"/>
      <c r="Z76" s="24"/>
    </row>
    <row r="77" ht="14.25" hidden="1" customHeight="1">
      <c r="A77" s="253" t="s">
        <v>763</v>
      </c>
      <c r="B77" s="253" t="s">
        <v>764</v>
      </c>
      <c r="C77" s="254">
        <v>0.0</v>
      </c>
      <c r="D77" s="254">
        <v>0.0</v>
      </c>
      <c r="E77" s="254">
        <v>0.0</v>
      </c>
      <c r="F77" s="254">
        <v>0.0</v>
      </c>
      <c r="G77" s="254">
        <v>714.02</v>
      </c>
      <c r="H77" s="254">
        <v>2398.82</v>
      </c>
      <c r="I77" s="254">
        <v>989.96</v>
      </c>
      <c r="J77" s="254">
        <v>998.98</v>
      </c>
      <c r="K77" s="254">
        <v>1581.98</v>
      </c>
      <c r="L77" s="254">
        <v>4934.98</v>
      </c>
      <c r="M77" s="254">
        <v>4934.98</v>
      </c>
      <c r="N77" s="254">
        <v>4599.0</v>
      </c>
      <c r="O77" s="251">
        <f t="shared" si="1"/>
        <v>-335.98</v>
      </c>
      <c r="P77" s="254">
        <f t="shared" si="2"/>
        <v>16553.72</v>
      </c>
      <c r="Q77" s="255"/>
      <c r="R77" s="24"/>
      <c r="S77" s="24"/>
      <c r="T77" s="24"/>
      <c r="U77" s="24"/>
      <c r="V77" s="24"/>
      <c r="W77" s="24"/>
      <c r="X77" s="24"/>
      <c r="Y77" s="24"/>
      <c r="Z77" s="24"/>
    </row>
    <row r="78" ht="14.25" hidden="1" customHeight="1">
      <c r="A78" s="250" t="s">
        <v>765</v>
      </c>
      <c r="B78" s="250" t="s">
        <v>766</v>
      </c>
      <c r="C78" s="251">
        <v>0.0</v>
      </c>
      <c r="D78" s="251">
        <v>0.0</v>
      </c>
      <c r="E78" s="251">
        <v>0.0</v>
      </c>
      <c r="F78" s="251">
        <v>4000.0</v>
      </c>
      <c r="G78" s="251">
        <v>102840.0</v>
      </c>
      <c r="H78" s="251">
        <v>100945.16</v>
      </c>
      <c r="I78" s="251">
        <v>115922.5</v>
      </c>
      <c r="J78" s="251">
        <v>86648.5</v>
      </c>
      <c r="K78" s="251">
        <v>90777.92</v>
      </c>
      <c r="L78" s="251">
        <v>90057.32</v>
      </c>
      <c r="M78" s="251">
        <v>82530.91</v>
      </c>
      <c r="N78" s="251">
        <v>81985.93</v>
      </c>
      <c r="O78" s="251">
        <f t="shared" si="1"/>
        <v>-544.98</v>
      </c>
      <c r="P78" s="251">
        <f t="shared" si="2"/>
        <v>673722.31</v>
      </c>
      <c r="Q78" s="255"/>
      <c r="R78" s="24"/>
      <c r="S78" s="24"/>
      <c r="T78" s="24"/>
      <c r="U78" s="24"/>
      <c r="V78" s="24"/>
      <c r="W78" s="24"/>
      <c r="X78" s="24"/>
      <c r="Y78" s="24"/>
      <c r="Z78" s="24"/>
    </row>
    <row r="79" ht="14.25" hidden="1" customHeight="1">
      <c r="A79" s="253" t="s">
        <v>767</v>
      </c>
      <c r="B79" s="253" t="s">
        <v>768</v>
      </c>
      <c r="C79" s="254">
        <v>0.0</v>
      </c>
      <c r="D79" s="254">
        <v>0.0</v>
      </c>
      <c r="E79" s="254">
        <v>0.0</v>
      </c>
      <c r="F79" s="254">
        <v>0.0</v>
      </c>
      <c r="G79" s="254">
        <v>0.0</v>
      </c>
      <c r="H79" s="254">
        <v>6603.91</v>
      </c>
      <c r="I79" s="254">
        <v>0.0</v>
      </c>
      <c r="J79" s="254">
        <v>0.0</v>
      </c>
      <c r="K79" s="254">
        <v>0.0</v>
      </c>
      <c r="L79" s="254">
        <v>0.0</v>
      </c>
      <c r="M79" s="254">
        <v>3999.76</v>
      </c>
      <c r="N79" s="254">
        <v>0.0</v>
      </c>
      <c r="O79" s="251">
        <f t="shared" si="1"/>
        <v>-3999.76</v>
      </c>
      <c r="P79" s="254">
        <f t="shared" si="2"/>
        <v>10603.67</v>
      </c>
      <c r="Q79" s="255"/>
      <c r="R79" s="24"/>
      <c r="S79" s="24"/>
      <c r="T79" s="24"/>
      <c r="U79" s="24"/>
      <c r="V79" s="24"/>
      <c r="W79" s="24"/>
      <c r="X79" s="24"/>
      <c r="Y79" s="24"/>
      <c r="Z79" s="24"/>
    </row>
    <row r="80" ht="14.25" hidden="1" customHeight="1">
      <c r="A80" s="250" t="s">
        <v>769</v>
      </c>
      <c r="B80" s="250" t="s">
        <v>770</v>
      </c>
      <c r="C80" s="251">
        <v>2752.0</v>
      </c>
      <c r="D80" s="251">
        <v>4052.0</v>
      </c>
      <c r="E80" s="251">
        <v>2752.0</v>
      </c>
      <c r="F80" s="251">
        <v>7306.0</v>
      </c>
      <c r="G80" s="251">
        <v>4554.0</v>
      </c>
      <c r="H80" s="251">
        <v>4554.0</v>
      </c>
      <c r="I80" s="251">
        <v>6285.0</v>
      </c>
      <c r="J80" s="251">
        <v>4554.0</v>
      </c>
      <c r="K80" s="251">
        <v>4554.0</v>
      </c>
      <c r="L80" s="251">
        <v>4554.0</v>
      </c>
      <c r="M80" s="251">
        <v>6072.0</v>
      </c>
      <c r="N80" s="251">
        <v>6072.0</v>
      </c>
      <c r="O80" s="251">
        <f t="shared" si="1"/>
        <v>0</v>
      </c>
      <c r="P80" s="251">
        <f t="shared" si="2"/>
        <v>51989</v>
      </c>
      <c r="Q80" s="255"/>
      <c r="R80" s="24"/>
      <c r="S80" s="24"/>
      <c r="T80" s="24"/>
      <c r="U80" s="24"/>
      <c r="V80" s="24"/>
      <c r="W80" s="24"/>
      <c r="X80" s="24"/>
      <c r="Y80" s="24"/>
      <c r="Z80" s="24"/>
    </row>
    <row r="81" ht="14.25" hidden="1" customHeight="1">
      <c r="A81" s="253" t="s">
        <v>771</v>
      </c>
      <c r="B81" s="253" t="s">
        <v>772</v>
      </c>
      <c r="C81" s="254">
        <v>0.0</v>
      </c>
      <c r="D81" s="254">
        <v>0.0</v>
      </c>
      <c r="E81" s="254">
        <v>0.0</v>
      </c>
      <c r="F81" s="254">
        <v>1000.98</v>
      </c>
      <c r="G81" s="254">
        <v>1588.14</v>
      </c>
      <c r="H81" s="254">
        <v>390.0</v>
      </c>
      <c r="I81" s="254">
        <v>0.0</v>
      </c>
      <c r="J81" s="254">
        <v>0.0</v>
      </c>
      <c r="K81" s="254">
        <v>333.92</v>
      </c>
      <c r="L81" s="254">
        <v>0.0</v>
      </c>
      <c r="M81" s="254">
        <v>0.0</v>
      </c>
      <c r="N81" s="254">
        <v>734.59</v>
      </c>
      <c r="O81" s="251">
        <f t="shared" si="1"/>
        <v>734.59</v>
      </c>
      <c r="P81" s="254">
        <f t="shared" si="2"/>
        <v>3313.04</v>
      </c>
      <c r="Q81" s="255"/>
      <c r="R81" s="24"/>
      <c r="S81" s="24"/>
      <c r="T81" s="24"/>
      <c r="U81" s="24"/>
      <c r="V81" s="24"/>
      <c r="W81" s="24"/>
      <c r="X81" s="24"/>
      <c r="Y81" s="24"/>
      <c r="Z81" s="24"/>
    </row>
    <row r="82" ht="14.25" hidden="1" customHeight="1">
      <c r="A82" s="250" t="s">
        <v>773</v>
      </c>
      <c r="B82" s="250" t="s">
        <v>774</v>
      </c>
      <c r="C82" s="251">
        <v>0.0</v>
      </c>
      <c r="D82" s="251">
        <v>0.0</v>
      </c>
      <c r="E82" s="251">
        <v>0.0</v>
      </c>
      <c r="F82" s="251">
        <v>2654.02</v>
      </c>
      <c r="G82" s="251">
        <v>7113.65</v>
      </c>
      <c r="H82" s="251">
        <v>8287.29</v>
      </c>
      <c r="I82" s="251">
        <v>5951.11</v>
      </c>
      <c r="J82" s="251">
        <v>4901.11</v>
      </c>
      <c r="K82" s="251">
        <v>5601.11</v>
      </c>
      <c r="L82" s="251">
        <v>4851.11</v>
      </c>
      <c r="M82" s="251">
        <v>7792.53</v>
      </c>
      <c r="N82" s="251">
        <v>6604.74</v>
      </c>
      <c r="O82" s="251">
        <f t="shared" si="1"/>
        <v>-1187.79</v>
      </c>
      <c r="P82" s="251">
        <f t="shared" si="2"/>
        <v>47151.93</v>
      </c>
      <c r="Q82" s="255"/>
      <c r="R82" s="24"/>
      <c r="S82" s="24"/>
      <c r="T82" s="24"/>
      <c r="U82" s="24"/>
      <c r="V82" s="24"/>
      <c r="W82" s="24"/>
      <c r="X82" s="24"/>
      <c r="Y82" s="24"/>
      <c r="Z82" s="24"/>
    </row>
    <row r="83" ht="14.25" hidden="1" customHeight="1">
      <c r="A83" s="253" t="s">
        <v>775</v>
      </c>
      <c r="B83" s="253" t="s">
        <v>663</v>
      </c>
      <c r="C83" s="254">
        <v>0.0</v>
      </c>
      <c r="D83" s="254">
        <v>0.0</v>
      </c>
      <c r="E83" s="254">
        <v>0.0</v>
      </c>
      <c r="F83" s="254">
        <v>0.0</v>
      </c>
      <c r="G83" s="254">
        <v>0.0</v>
      </c>
      <c r="H83" s="254">
        <v>303.6</v>
      </c>
      <c r="I83" s="254">
        <v>303.6</v>
      </c>
      <c r="J83" s="254">
        <v>303.6</v>
      </c>
      <c r="K83" s="254">
        <v>303.6</v>
      </c>
      <c r="L83" s="254">
        <v>1720.4</v>
      </c>
      <c r="M83" s="254">
        <v>2125.2</v>
      </c>
      <c r="N83" s="254">
        <v>2125.2</v>
      </c>
      <c r="O83" s="251">
        <f t="shared" si="1"/>
        <v>0</v>
      </c>
      <c r="P83" s="254">
        <f t="shared" si="2"/>
        <v>5060</v>
      </c>
      <c r="Q83" s="255"/>
      <c r="R83" s="24"/>
      <c r="S83" s="24"/>
      <c r="T83" s="24"/>
      <c r="U83" s="24"/>
      <c r="V83" s="24"/>
      <c r="W83" s="24"/>
      <c r="X83" s="24"/>
      <c r="Y83" s="24"/>
      <c r="Z83" s="24"/>
    </row>
    <row r="84" ht="14.25" hidden="1" customHeight="1">
      <c r="A84" s="250" t="s">
        <v>776</v>
      </c>
      <c r="B84" s="250" t="s">
        <v>777</v>
      </c>
      <c r="C84" s="251">
        <v>0.0</v>
      </c>
      <c r="D84" s="251">
        <v>0.0</v>
      </c>
      <c r="E84" s="251">
        <v>0.0</v>
      </c>
      <c r="F84" s="251">
        <v>23782.0</v>
      </c>
      <c r="G84" s="251">
        <v>26004.22</v>
      </c>
      <c r="H84" s="251">
        <v>40620.22</v>
      </c>
      <c r="I84" s="251">
        <v>30184.22</v>
      </c>
      <c r="J84" s="251">
        <v>26484.22</v>
      </c>
      <c r="K84" s="251">
        <v>24782.0</v>
      </c>
      <c r="L84" s="251">
        <v>24782.0</v>
      </c>
      <c r="M84" s="251">
        <v>26011.53</v>
      </c>
      <c r="N84" s="251">
        <v>44939.83</v>
      </c>
      <c r="O84" s="251">
        <f t="shared" si="1"/>
        <v>18928.3</v>
      </c>
      <c r="P84" s="251">
        <f t="shared" si="2"/>
        <v>222650.41</v>
      </c>
      <c r="Q84" s="255"/>
      <c r="R84" s="24"/>
      <c r="S84" s="24"/>
      <c r="T84" s="24"/>
      <c r="U84" s="24"/>
      <c r="V84" s="24"/>
      <c r="W84" s="24"/>
      <c r="X84" s="24"/>
      <c r="Y84" s="24"/>
      <c r="Z84" s="24"/>
    </row>
    <row r="85" ht="14.25" hidden="1" customHeight="1">
      <c r="A85" s="253" t="s">
        <v>778</v>
      </c>
      <c r="B85" s="253" t="s">
        <v>779</v>
      </c>
      <c r="C85" s="254">
        <v>1000.0</v>
      </c>
      <c r="D85" s="254">
        <v>1000.0</v>
      </c>
      <c r="E85" s="254">
        <v>1000.0</v>
      </c>
      <c r="F85" s="254">
        <v>3074.79</v>
      </c>
      <c r="G85" s="254">
        <v>2496.89</v>
      </c>
      <c r="H85" s="254">
        <v>2496.89</v>
      </c>
      <c r="I85" s="254">
        <v>2496.89</v>
      </c>
      <c r="J85" s="254">
        <v>2496.89</v>
      </c>
      <c r="K85" s="254">
        <v>2496.89</v>
      </c>
      <c r="L85" s="254">
        <v>2496.89</v>
      </c>
      <c r="M85" s="254">
        <v>2496.89</v>
      </c>
      <c r="N85" s="254">
        <v>2496.89</v>
      </c>
      <c r="O85" s="251">
        <f t="shared" si="1"/>
        <v>0</v>
      </c>
      <c r="P85" s="254">
        <f t="shared" si="2"/>
        <v>23553.02</v>
      </c>
      <c r="Q85" s="255"/>
      <c r="R85" s="24"/>
      <c r="S85" s="24"/>
      <c r="T85" s="24"/>
      <c r="U85" s="24"/>
      <c r="V85" s="24"/>
      <c r="W85" s="24"/>
      <c r="X85" s="24"/>
      <c r="Y85" s="24"/>
      <c r="Z85" s="24"/>
    </row>
    <row r="86" ht="14.25" hidden="1" customHeight="1">
      <c r="A86" s="250" t="s">
        <v>232</v>
      </c>
      <c r="B86" s="250" t="s">
        <v>380</v>
      </c>
      <c r="C86" s="251">
        <v>88794.54</v>
      </c>
      <c r="D86" s="251">
        <v>405733.11</v>
      </c>
      <c r="E86" s="251">
        <v>223603.25</v>
      </c>
      <c r="F86" s="251">
        <v>165874.32</v>
      </c>
      <c r="G86" s="251">
        <v>0.0</v>
      </c>
      <c r="H86" s="251">
        <v>0.0</v>
      </c>
      <c r="I86" s="251">
        <v>13.0</v>
      </c>
      <c r="J86" s="251">
        <v>129.9</v>
      </c>
      <c r="K86" s="251">
        <v>690.0</v>
      </c>
      <c r="L86" s="251">
        <v>40.0</v>
      </c>
      <c r="M86" s="251">
        <v>1880.0</v>
      </c>
      <c r="N86" s="251">
        <v>1306.7</v>
      </c>
      <c r="O86" s="251">
        <f t="shared" si="1"/>
        <v>-573.3</v>
      </c>
      <c r="P86" s="251">
        <f t="shared" si="2"/>
        <v>886758.12</v>
      </c>
      <c r="Q86" s="255"/>
      <c r="R86" s="24"/>
      <c r="S86" s="24"/>
      <c r="T86" s="24"/>
      <c r="U86" s="24"/>
      <c r="V86" s="24"/>
      <c r="W86" s="24"/>
      <c r="X86" s="24"/>
      <c r="Y86" s="24"/>
      <c r="Z86" s="24"/>
    </row>
    <row r="87" ht="14.25" hidden="1" customHeight="1">
      <c r="A87" s="253" t="s">
        <v>780</v>
      </c>
      <c r="B87" s="253" t="s">
        <v>781</v>
      </c>
      <c r="C87" s="254"/>
      <c r="D87" s="254"/>
      <c r="E87" s="254"/>
      <c r="F87" s="254"/>
      <c r="G87" s="254"/>
      <c r="H87" s="254"/>
      <c r="I87" s="254">
        <v>4145.92</v>
      </c>
      <c r="J87" s="254">
        <v>0.0</v>
      </c>
      <c r="K87" s="254">
        <v>657.37</v>
      </c>
      <c r="L87" s="254">
        <v>0.0</v>
      </c>
      <c r="M87" s="254">
        <v>5022.41</v>
      </c>
      <c r="N87" s="254">
        <v>0.0</v>
      </c>
      <c r="O87" s="251">
        <f t="shared" si="1"/>
        <v>-5022.41</v>
      </c>
      <c r="P87" s="254">
        <f t="shared" si="2"/>
        <v>9825.7</v>
      </c>
      <c r="Q87" s="255"/>
      <c r="R87" s="24"/>
      <c r="S87" s="24"/>
      <c r="T87" s="24"/>
      <c r="U87" s="24"/>
      <c r="V87" s="24"/>
      <c r="W87" s="24"/>
      <c r="X87" s="24"/>
      <c r="Y87" s="24"/>
      <c r="Z87" s="24"/>
    </row>
    <row r="88" ht="14.25" hidden="1" customHeight="1">
      <c r="A88" s="250" t="s">
        <v>782</v>
      </c>
      <c r="B88" s="250" t="s">
        <v>783</v>
      </c>
      <c r="C88" s="251">
        <v>0.0</v>
      </c>
      <c r="D88" s="251">
        <v>0.0</v>
      </c>
      <c r="E88" s="251">
        <v>0.0</v>
      </c>
      <c r="F88" s="251">
        <v>0.0</v>
      </c>
      <c r="G88" s="251">
        <v>0.0</v>
      </c>
      <c r="H88" s="251">
        <v>139.3</v>
      </c>
      <c r="I88" s="251">
        <v>0.0</v>
      </c>
      <c r="J88" s="251">
        <v>132.87</v>
      </c>
      <c r="K88" s="251">
        <v>0.0</v>
      </c>
      <c r="L88" s="251">
        <v>1009.74</v>
      </c>
      <c r="M88" s="251">
        <v>399.44</v>
      </c>
      <c r="N88" s="251">
        <v>0.0</v>
      </c>
      <c r="O88" s="251">
        <f t="shared" si="1"/>
        <v>-399.44</v>
      </c>
      <c r="P88" s="251">
        <f t="shared" si="2"/>
        <v>1681.35</v>
      </c>
      <c r="Q88" s="255"/>
      <c r="R88" s="24"/>
      <c r="S88" s="24"/>
      <c r="T88" s="24"/>
      <c r="U88" s="24"/>
      <c r="V88" s="24"/>
      <c r="W88" s="24"/>
      <c r="X88" s="24"/>
      <c r="Y88" s="24"/>
      <c r="Z88" s="24"/>
    </row>
    <row r="89" ht="14.25" hidden="1" customHeight="1">
      <c r="A89" s="253" t="s">
        <v>784</v>
      </c>
      <c r="B89" s="253" t="s">
        <v>785</v>
      </c>
      <c r="C89" s="254">
        <v>0.0</v>
      </c>
      <c r="D89" s="254">
        <v>0.0</v>
      </c>
      <c r="E89" s="254">
        <v>0.0</v>
      </c>
      <c r="F89" s="254">
        <v>0.0</v>
      </c>
      <c r="G89" s="254">
        <v>0.0</v>
      </c>
      <c r="H89" s="254">
        <v>2798.16</v>
      </c>
      <c r="I89" s="254">
        <v>108.74000000000001</v>
      </c>
      <c r="J89" s="254">
        <v>7179.63</v>
      </c>
      <c r="K89" s="254">
        <v>3782.38</v>
      </c>
      <c r="L89" s="254">
        <v>4595.62</v>
      </c>
      <c r="M89" s="254">
        <v>0.0</v>
      </c>
      <c r="N89" s="254">
        <v>1316.36</v>
      </c>
      <c r="O89" s="251">
        <f t="shared" si="1"/>
        <v>1316.36</v>
      </c>
      <c r="P89" s="254">
        <f t="shared" si="2"/>
        <v>18464.53</v>
      </c>
      <c r="Q89" s="255"/>
      <c r="R89" s="24"/>
      <c r="S89" s="24"/>
      <c r="T89" s="24"/>
      <c r="U89" s="24"/>
      <c r="V89" s="24"/>
      <c r="W89" s="24"/>
      <c r="X89" s="24"/>
      <c r="Y89" s="24"/>
      <c r="Z89" s="24"/>
    </row>
    <row r="90" ht="14.25" hidden="1" customHeight="1">
      <c r="A90" s="250" t="s">
        <v>786</v>
      </c>
      <c r="B90" s="250" t="s">
        <v>787</v>
      </c>
      <c r="C90" s="251">
        <v>0.0</v>
      </c>
      <c r="D90" s="251">
        <v>0.0</v>
      </c>
      <c r="E90" s="251">
        <v>0.0</v>
      </c>
      <c r="F90" s="251">
        <v>0.0</v>
      </c>
      <c r="G90" s="251">
        <v>0.0</v>
      </c>
      <c r="H90" s="251">
        <v>196.88</v>
      </c>
      <c r="I90" s="251">
        <v>196.88</v>
      </c>
      <c r="J90" s="251">
        <v>0.0</v>
      </c>
      <c r="K90" s="251">
        <v>0.0</v>
      </c>
      <c r="L90" s="251">
        <v>-119.9</v>
      </c>
      <c r="M90" s="251">
        <v>0.0</v>
      </c>
      <c r="N90" s="251">
        <v>-119.9</v>
      </c>
      <c r="O90" s="251">
        <f t="shared" si="1"/>
        <v>-119.9</v>
      </c>
      <c r="P90" s="251">
        <f t="shared" si="2"/>
        <v>273.86</v>
      </c>
      <c r="Q90" s="255"/>
      <c r="R90" s="24"/>
      <c r="S90" s="24"/>
      <c r="T90" s="24"/>
      <c r="U90" s="24"/>
      <c r="V90" s="24"/>
      <c r="W90" s="24"/>
      <c r="X90" s="24"/>
      <c r="Y90" s="24"/>
      <c r="Z90" s="24"/>
    </row>
    <row r="91" ht="14.25" hidden="1" customHeight="1">
      <c r="A91" s="253" t="s">
        <v>788</v>
      </c>
      <c r="B91" s="253" t="s">
        <v>676</v>
      </c>
      <c r="C91" s="254">
        <v>0.0</v>
      </c>
      <c r="D91" s="254">
        <v>0.0</v>
      </c>
      <c r="E91" s="254">
        <v>0.0</v>
      </c>
      <c r="F91" s="254">
        <v>0.0</v>
      </c>
      <c r="G91" s="254">
        <v>0.0</v>
      </c>
      <c r="H91" s="254">
        <v>780.0</v>
      </c>
      <c r="I91" s="254">
        <v>817.21</v>
      </c>
      <c r="J91" s="254">
        <v>817.21</v>
      </c>
      <c r="K91" s="254">
        <v>572.04</v>
      </c>
      <c r="L91" s="254">
        <v>756.01</v>
      </c>
      <c r="M91" s="254">
        <v>907.21</v>
      </c>
      <c r="N91" s="254">
        <v>907.21</v>
      </c>
      <c r="O91" s="251">
        <f t="shared" si="1"/>
        <v>0</v>
      </c>
      <c r="P91" s="254">
        <f t="shared" si="2"/>
        <v>4649.68</v>
      </c>
      <c r="Q91" s="255"/>
      <c r="R91" s="24"/>
      <c r="S91" s="24"/>
      <c r="T91" s="24"/>
      <c r="U91" s="24"/>
      <c r="V91" s="24"/>
      <c r="W91" s="24"/>
      <c r="X91" s="24"/>
      <c r="Y91" s="24"/>
      <c r="Z91" s="24"/>
    </row>
    <row r="92" ht="14.25" hidden="1" customHeight="1">
      <c r="A92" s="250" t="s">
        <v>789</v>
      </c>
      <c r="B92" s="250" t="s">
        <v>790</v>
      </c>
      <c r="C92" s="251">
        <v>1000.35</v>
      </c>
      <c r="D92" s="251">
        <v>994.69</v>
      </c>
      <c r="E92" s="251">
        <v>767.24</v>
      </c>
      <c r="F92" s="251">
        <v>1341.33</v>
      </c>
      <c r="G92" s="251">
        <v>60319.21</v>
      </c>
      <c r="H92" s="251">
        <v>58717.5</v>
      </c>
      <c r="I92" s="251">
        <v>5049.27</v>
      </c>
      <c r="J92" s="251">
        <v>5526.76</v>
      </c>
      <c r="K92" s="251">
        <v>4439.86</v>
      </c>
      <c r="L92" s="251">
        <v>6259.65</v>
      </c>
      <c r="M92" s="251">
        <v>3193.71</v>
      </c>
      <c r="N92" s="251">
        <v>10687.99</v>
      </c>
      <c r="O92" s="251">
        <f t="shared" si="1"/>
        <v>7494.28</v>
      </c>
      <c r="P92" s="251">
        <f t="shared" si="2"/>
        <v>147609.57</v>
      </c>
      <c r="Q92" s="255"/>
      <c r="R92" s="24"/>
      <c r="S92" s="24"/>
      <c r="T92" s="24"/>
      <c r="U92" s="24"/>
      <c r="V92" s="24"/>
      <c r="W92" s="24"/>
      <c r="X92" s="24"/>
      <c r="Y92" s="24"/>
      <c r="Z92" s="24"/>
    </row>
    <row r="93" ht="14.25" hidden="1" customHeight="1">
      <c r="A93" s="253" t="s">
        <v>791</v>
      </c>
      <c r="B93" s="253" t="s">
        <v>792</v>
      </c>
      <c r="C93" s="254">
        <v>350.0</v>
      </c>
      <c r="D93" s="254">
        <v>260.06</v>
      </c>
      <c r="E93" s="254">
        <v>2076.98</v>
      </c>
      <c r="F93" s="254">
        <v>0.0</v>
      </c>
      <c r="G93" s="254">
        <v>0.0</v>
      </c>
      <c r="H93" s="254">
        <v>0.0</v>
      </c>
      <c r="I93" s="254">
        <v>0.0</v>
      </c>
      <c r="J93" s="254">
        <v>0.0</v>
      </c>
      <c r="K93" s="254">
        <v>0.0</v>
      </c>
      <c r="L93" s="254">
        <v>0.0</v>
      </c>
      <c r="M93" s="254">
        <v>0.0</v>
      </c>
      <c r="N93" s="254">
        <v>0.0</v>
      </c>
      <c r="O93" s="251">
        <f t="shared" si="1"/>
        <v>0</v>
      </c>
      <c r="P93" s="254">
        <f t="shared" si="2"/>
        <v>2687.04</v>
      </c>
      <c r="Q93" s="255"/>
      <c r="R93" s="24"/>
      <c r="S93" s="24"/>
      <c r="T93" s="24"/>
      <c r="U93" s="24"/>
      <c r="V93" s="24"/>
      <c r="W93" s="24"/>
      <c r="X93" s="24"/>
      <c r="Y93" s="24"/>
      <c r="Z93" s="24"/>
    </row>
    <row r="94" ht="14.25" hidden="1" customHeight="1">
      <c r="A94" s="250" t="s">
        <v>793</v>
      </c>
      <c r="B94" s="250" t="s">
        <v>794</v>
      </c>
      <c r="C94" s="251">
        <v>1520.57</v>
      </c>
      <c r="D94" s="251">
        <v>1364.34</v>
      </c>
      <c r="E94" s="251">
        <v>1523.74</v>
      </c>
      <c r="F94" s="251">
        <v>1411.75</v>
      </c>
      <c r="G94" s="251">
        <v>1448.79</v>
      </c>
      <c r="H94" s="251">
        <v>1448.79</v>
      </c>
      <c r="I94" s="251">
        <v>1468.53</v>
      </c>
      <c r="J94" s="251">
        <v>691.67</v>
      </c>
      <c r="K94" s="251">
        <v>2205.91</v>
      </c>
      <c r="L94" s="251">
        <v>1482.28</v>
      </c>
      <c r="M94" s="251">
        <v>1530.46</v>
      </c>
      <c r="N94" s="251">
        <v>720.86</v>
      </c>
      <c r="O94" s="251">
        <f t="shared" si="1"/>
        <v>-809.6</v>
      </c>
      <c r="P94" s="251">
        <f t="shared" si="2"/>
        <v>16096.83</v>
      </c>
      <c r="Q94" s="255"/>
      <c r="R94" s="24"/>
      <c r="S94" s="24"/>
      <c r="T94" s="24"/>
      <c r="U94" s="24"/>
      <c r="V94" s="24"/>
      <c r="W94" s="24"/>
      <c r="X94" s="24"/>
      <c r="Y94" s="24"/>
      <c r="Z94" s="24"/>
    </row>
    <row r="95" ht="14.25" hidden="1" customHeight="1">
      <c r="A95" s="253" t="s">
        <v>795</v>
      </c>
      <c r="B95" s="253" t="s">
        <v>684</v>
      </c>
      <c r="C95" s="254">
        <v>0.0</v>
      </c>
      <c r="D95" s="254">
        <v>0.0</v>
      </c>
      <c r="E95" s="254">
        <v>3238.8</v>
      </c>
      <c r="F95" s="254">
        <v>0.0</v>
      </c>
      <c r="G95" s="254">
        <v>-91.08</v>
      </c>
      <c r="H95" s="254">
        <v>-793.89</v>
      </c>
      <c r="I95" s="254">
        <v>1720.03</v>
      </c>
      <c r="J95" s="254">
        <v>1797.1999999999998</v>
      </c>
      <c r="K95" s="254">
        <v>1288.63</v>
      </c>
      <c r="L95" s="254">
        <v>1642.59</v>
      </c>
      <c r="M95" s="254">
        <v>1892.64</v>
      </c>
      <c r="N95" s="254">
        <v>1444.8799999999999</v>
      </c>
      <c r="O95" s="251">
        <f t="shared" si="1"/>
        <v>-447.76</v>
      </c>
      <c r="P95" s="254">
        <f t="shared" si="2"/>
        <v>10694.92</v>
      </c>
      <c r="Q95" s="255"/>
      <c r="R95" s="24"/>
      <c r="S95" s="24"/>
      <c r="T95" s="24"/>
      <c r="U95" s="24"/>
      <c r="V95" s="24"/>
      <c r="W95" s="24"/>
      <c r="X95" s="24"/>
      <c r="Y95" s="24"/>
      <c r="Z95" s="24"/>
    </row>
    <row r="96" ht="14.25" hidden="1" customHeight="1">
      <c r="A96" s="250" t="s">
        <v>796</v>
      </c>
      <c r="B96" s="250" t="s">
        <v>797</v>
      </c>
      <c r="C96" s="251">
        <v>3830.0</v>
      </c>
      <c r="D96" s="251">
        <v>8352.79</v>
      </c>
      <c r="E96" s="251">
        <v>7589.12</v>
      </c>
      <c r="F96" s="251">
        <v>7872.96</v>
      </c>
      <c r="G96" s="251">
        <v>5699.12</v>
      </c>
      <c r="H96" s="251">
        <v>7043.56</v>
      </c>
      <c r="I96" s="251">
        <v>8483.7</v>
      </c>
      <c r="J96" s="251">
        <v>5940.89</v>
      </c>
      <c r="K96" s="251">
        <v>4495.08</v>
      </c>
      <c r="L96" s="251">
        <v>5612.49</v>
      </c>
      <c r="M96" s="251">
        <v>5575.41</v>
      </c>
      <c r="N96" s="251">
        <v>2296.7</v>
      </c>
      <c r="O96" s="251">
        <f t="shared" si="1"/>
        <v>-3278.71</v>
      </c>
      <c r="P96" s="251">
        <f t="shared" si="2"/>
        <v>70495.12</v>
      </c>
      <c r="Q96" s="255"/>
      <c r="R96" s="24"/>
      <c r="S96" s="24"/>
      <c r="T96" s="24"/>
      <c r="U96" s="24"/>
      <c r="V96" s="24"/>
      <c r="W96" s="24"/>
      <c r="X96" s="24"/>
      <c r="Y96" s="24"/>
      <c r="Z96" s="24"/>
    </row>
    <row r="97" ht="14.25" hidden="1" customHeight="1">
      <c r="A97" s="253" t="s">
        <v>554</v>
      </c>
      <c r="B97" s="253" t="s">
        <v>798</v>
      </c>
      <c r="C97" s="254">
        <v>0.0</v>
      </c>
      <c r="D97" s="254">
        <v>0.0</v>
      </c>
      <c r="E97" s="254">
        <v>0.0</v>
      </c>
      <c r="F97" s="254">
        <v>0.0</v>
      </c>
      <c r="G97" s="254">
        <v>0.0</v>
      </c>
      <c r="H97" s="254">
        <v>0.0</v>
      </c>
      <c r="I97" s="254">
        <v>0.0</v>
      </c>
      <c r="J97" s="254">
        <v>0.0</v>
      </c>
      <c r="K97" s="254">
        <v>0.0</v>
      </c>
      <c r="L97" s="254">
        <v>0.0</v>
      </c>
      <c r="M97" s="254">
        <v>0.0</v>
      </c>
      <c r="N97" s="254">
        <v>0.0</v>
      </c>
      <c r="O97" s="251">
        <f t="shared" si="1"/>
        <v>0</v>
      </c>
      <c r="P97" s="254">
        <f t="shared" si="2"/>
        <v>0</v>
      </c>
      <c r="Q97" s="255"/>
      <c r="R97" s="24"/>
      <c r="S97" s="24"/>
      <c r="T97" s="24"/>
      <c r="U97" s="24"/>
      <c r="V97" s="24"/>
      <c r="W97" s="24"/>
      <c r="X97" s="24"/>
      <c r="Y97" s="24"/>
      <c r="Z97" s="24"/>
    </row>
    <row r="98" ht="14.25" hidden="1" customHeight="1">
      <c r="A98" s="250" t="s">
        <v>799</v>
      </c>
      <c r="B98" s="250" t="s">
        <v>800</v>
      </c>
      <c r="C98" s="251">
        <v>0.0</v>
      </c>
      <c r="D98" s="251">
        <v>0.0</v>
      </c>
      <c r="E98" s="251">
        <v>0.0</v>
      </c>
      <c r="F98" s="251">
        <v>0.0</v>
      </c>
      <c r="G98" s="251">
        <v>0.0</v>
      </c>
      <c r="H98" s="251">
        <v>0.0</v>
      </c>
      <c r="I98" s="251">
        <v>0.0</v>
      </c>
      <c r="J98" s="251">
        <v>0.0</v>
      </c>
      <c r="K98" s="251">
        <v>0.0</v>
      </c>
      <c r="L98" s="251">
        <v>0.0</v>
      </c>
      <c r="M98" s="251">
        <v>0.0</v>
      </c>
      <c r="N98" s="251">
        <v>0.0</v>
      </c>
      <c r="O98" s="251">
        <f t="shared" si="1"/>
        <v>0</v>
      </c>
      <c r="P98" s="251">
        <f t="shared" si="2"/>
        <v>0</v>
      </c>
      <c r="Q98" s="252"/>
      <c r="R98" s="24"/>
      <c r="S98" s="24"/>
      <c r="T98" s="24"/>
      <c r="U98" s="24"/>
      <c r="V98" s="24"/>
      <c r="W98" s="24"/>
      <c r="X98" s="24"/>
      <c r="Y98" s="24"/>
      <c r="Z98" s="24"/>
    </row>
    <row r="99" ht="14.25" hidden="1" customHeight="1">
      <c r="A99" s="253" t="s">
        <v>801</v>
      </c>
      <c r="B99" s="253" t="s">
        <v>802</v>
      </c>
      <c r="C99" s="254">
        <v>0.0</v>
      </c>
      <c r="D99" s="254">
        <v>0.0</v>
      </c>
      <c r="E99" s="254">
        <v>0.0</v>
      </c>
      <c r="F99" s="254">
        <v>0.0</v>
      </c>
      <c r="G99" s="254">
        <v>0.0</v>
      </c>
      <c r="H99" s="254">
        <v>0.0</v>
      </c>
      <c r="I99" s="254">
        <v>0.0</v>
      </c>
      <c r="J99" s="254">
        <v>175.25</v>
      </c>
      <c r="K99" s="254">
        <v>568.84</v>
      </c>
      <c r="L99" s="254">
        <v>0.0</v>
      </c>
      <c r="M99" s="254">
        <v>0.0</v>
      </c>
      <c r="N99" s="254">
        <v>44.17</v>
      </c>
      <c r="O99" s="251">
        <f t="shared" si="1"/>
        <v>44.17</v>
      </c>
      <c r="P99" s="254">
        <f t="shared" si="2"/>
        <v>744.09</v>
      </c>
      <c r="Q99" s="255"/>
      <c r="R99" s="24"/>
      <c r="S99" s="24"/>
      <c r="T99" s="24"/>
      <c r="U99" s="24"/>
      <c r="V99" s="24"/>
      <c r="W99" s="24"/>
      <c r="X99" s="24"/>
      <c r="Y99" s="24"/>
      <c r="Z99" s="24"/>
    </row>
    <row r="100" ht="14.25" hidden="1" customHeight="1">
      <c r="A100" s="250" t="s">
        <v>803</v>
      </c>
      <c r="B100" s="250" t="s">
        <v>804</v>
      </c>
      <c r="C100" s="251">
        <v>0.0</v>
      </c>
      <c r="D100" s="251">
        <v>2232.0</v>
      </c>
      <c r="E100" s="251">
        <v>1890.0</v>
      </c>
      <c r="F100" s="251">
        <v>0.0</v>
      </c>
      <c r="G100" s="251">
        <v>0.0</v>
      </c>
      <c r="H100" s="251">
        <v>0.0</v>
      </c>
      <c r="I100" s="251">
        <v>0.0</v>
      </c>
      <c r="J100" s="251">
        <v>0.0</v>
      </c>
      <c r="K100" s="251">
        <v>0.0</v>
      </c>
      <c r="L100" s="251">
        <v>0.0</v>
      </c>
      <c r="M100" s="251">
        <v>0.0</v>
      </c>
      <c r="N100" s="251">
        <v>0.0</v>
      </c>
      <c r="O100" s="251">
        <f t="shared" si="1"/>
        <v>0</v>
      </c>
      <c r="P100" s="251">
        <f t="shared" si="2"/>
        <v>4122</v>
      </c>
      <c r="Q100" s="255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4.25" hidden="1" customHeight="1">
      <c r="A101" s="253" t="s">
        <v>805</v>
      </c>
      <c r="B101" s="253" t="s">
        <v>806</v>
      </c>
      <c r="C101" s="254">
        <v>0.0</v>
      </c>
      <c r="D101" s="254">
        <v>306.12</v>
      </c>
      <c r="E101" s="254">
        <v>0.0</v>
      </c>
      <c r="F101" s="254">
        <v>0.0</v>
      </c>
      <c r="G101" s="254">
        <v>0.0</v>
      </c>
      <c r="H101" s="254">
        <v>996.02</v>
      </c>
      <c r="I101" s="254">
        <v>0.0</v>
      </c>
      <c r="J101" s="254">
        <v>0.0</v>
      </c>
      <c r="K101" s="254">
        <v>0.0</v>
      </c>
      <c r="L101" s="254">
        <v>95.81</v>
      </c>
      <c r="M101" s="254">
        <v>0.0</v>
      </c>
      <c r="N101" s="254">
        <v>0.0</v>
      </c>
      <c r="O101" s="251">
        <f t="shared" si="1"/>
        <v>0</v>
      </c>
      <c r="P101" s="254">
        <f t="shared" si="2"/>
        <v>1397.95</v>
      </c>
      <c r="Q101" s="255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4.25" hidden="1" customHeight="1">
      <c r="A102" s="250" t="s">
        <v>807</v>
      </c>
      <c r="B102" s="250" t="s">
        <v>808</v>
      </c>
      <c r="C102" s="251">
        <v>0.0</v>
      </c>
      <c r="D102" s="251">
        <v>0.0</v>
      </c>
      <c r="E102" s="251">
        <v>0.0</v>
      </c>
      <c r="F102" s="251">
        <v>1199.74</v>
      </c>
      <c r="G102" s="251">
        <v>0.0</v>
      </c>
      <c r="H102" s="251">
        <v>453.07</v>
      </c>
      <c r="I102" s="251">
        <v>2784.58</v>
      </c>
      <c r="J102" s="251">
        <v>192.43</v>
      </c>
      <c r="K102" s="251">
        <v>0.0</v>
      </c>
      <c r="L102" s="251">
        <v>0.0</v>
      </c>
      <c r="M102" s="251">
        <v>58.73</v>
      </c>
      <c r="N102" s="251">
        <v>464.34</v>
      </c>
      <c r="O102" s="251">
        <f t="shared" si="1"/>
        <v>405.61</v>
      </c>
      <c r="P102" s="251">
        <f t="shared" si="2"/>
        <v>4688.55</v>
      </c>
      <c r="Q102" s="255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4.25" hidden="1" customHeight="1">
      <c r="A103" s="253" t="s">
        <v>809</v>
      </c>
      <c r="B103" s="253" t="s">
        <v>810</v>
      </c>
      <c r="C103" s="254">
        <v>3830.0</v>
      </c>
      <c r="D103" s="254">
        <v>5814.1</v>
      </c>
      <c r="E103" s="254">
        <v>5699.12</v>
      </c>
      <c r="F103" s="254">
        <v>6673.22</v>
      </c>
      <c r="G103" s="254">
        <v>5699.12</v>
      </c>
      <c r="H103" s="254">
        <v>5594.47</v>
      </c>
      <c r="I103" s="254">
        <v>5699.12</v>
      </c>
      <c r="J103" s="254">
        <v>5516.68</v>
      </c>
      <c r="K103" s="254">
        <v>3742.74</v>
      </c>
      <c r="L103" s="254">
        <v>5516.68</v>
      </c>
      <c r="M103" s="254">
        <v>5516.68</v>
      </c>
      <c r="N103" s="254">
        <v>1773.94</v>
      </c>
      <c r="O103" s="251">
        <f t="shared" si="1"/>
        <v>-3742.74</v>
      </c>
      <c r="P103" s="254">
        <f t="shared" si="2"/>
        <v>59301.93</v>
      </c>
      <c r="Q103" s="255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4.25" hidden="1" customHeight="1">
      <c r="A104" s="250" t="s">
        <v>811</v>
      </c>
      <c r="B104" s="250" t="s">
        <v>812</v>
      </c>
      <c r="C104" s="251">
        <v>0.0</v>
      </c>
      <c r="D104" s="251">
        <v>0.57</v>
      </c>
      <c r="E104" s="251">
        <v>0.0</v>
      </c>
      <c r="F104" s="251">
        <v>0.0</v>
      </c>
      <c r="G104" s="251">
        <v>0.0</v>
      </c>
      <c r="H104" s="251">
        <v>0.0</v>
      </c>
      <c r="I104" s="251">
        <v>0.0</v>
      </c>
      <c r="J104" s="251">
        <v>56.53</v>
      </c>
      <c r="K104" s="251">
        <v>183.5</v>
      </c>
      <c r="L104" s="251">
        <v>0.0</v>
      </c>
      <c r="M104" s="251">
        <v>0.0</v>
      </c>
      <c r="N104" s="251">
        <v>14.25</v>
      </c>
      <c r="O104" s="251">
        <f t="shared" si="1"/>
        <v>14.25</v>
      </c>
      <c r="P104" s="251">
        <f t="shared" si="2"/>
        <v>240.6</v>
      </c>
      <c r="Q104" s="255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4.25" hidden="1" customHeight="1">
      <c r="A105" s="253" t="s">
        <v>813</v>
      </c>
      <c r="B105" s="253" t="s">
        <v>814</v>
      </c>
      <c r="C105" s="254">
        <v>0.0</v>
      </c>
      <c r="D105" s="254">
        <v>0.0</v>
      </c>
      <c r="E105" s="254">
        <v>0.0</v>
      </c>
      <c r="F105" s="254">
        <v>0.0</v>
      </c>
      <c r="G105" s="254">
        <v>0.0</v>
      </c>
      <c r="H105" s="254">
        <v>0.0</v>
      </c>
      <c r="I105" s="254">
        <v>0.0</v>
      </c>
      <c r="J105" s="254">
        <v>0.0</v>
      </c>
      <c r="K105" s="254">
        <v>0.0</v>
      </c>
      <c r="L105" s="254">
        <v>0.0</v>
      </c>
      <c r="M105" s="254">
        <v>0.0</v>
      </c>
      <c r="N105" s="254">
        <v>0.0</v>
      </c>
      <c r="O105" s="251">
        <f t="shared" si="1"/>
        <v>0</v>
      </c>
      <c r="P105" s="254">
        <f t="shared" si="2"/>
        <v>0</v>
      </c>
      <c r="Q105" s="255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4.25" hidden="1" customHeight="1">
      <c r="A106" s="250" t="s">
        <v>815</v>
      </c>
      <c r="B106" s="250" t="s">
        <v>816</v>
      </c>
      <c r="C106" s="251">
        <v>0.0</v>
      </c>
      <c r="D106" s="251">
        <v>0.0</v>
      </c>
      <c r="E106" s="251">
        <v>0.0</v>
      </c>
      <c r="F106" s="251">
        <v>0.0</v>
      </c>
      <c r="G106" s="251">
        <v>0.0</v>
      </c>
      <c r="H106" s="251">
        <v>0.0</v>
      </c>
      <c r="I106" s="251">
        <v>0.0</v>
      </c>
      <c r="J106" s="251">
        <v>0.0</v>
      </c>
      <c r="K106" s="251">
        <v>0.0</v>
      </c>
      <c r="L106" s="251">
        <v>0.0</v>
      </c>
      <c r="M106" s="251">
        <v>0.0</v>
      </c>
      <c r="N106" s="251">
        <v>0.0</v>
      </c>
      <c r="O106" s="251">
        <f t="shared" si="1"/>
        <v>0</v>
      </c>
      <c r="P106" s="251">
        <f t="shared" si="2"/>
        <v>0</v>
      </c>
      <c r="Q106" s="252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4.25" hidden="1" customHeight="1">
      <c r="A107" s="253" t="s">
        <v>817</v>
      </c>
      <c r="B107" s="253" t="s">
        <v>818</v>
      </c>
      <c r="C107" s="254">
        <v>0.0</v>
      </c>
      <c r="D107" s="254">
        <v>0.0</v>
      </c>
      <c r="E107" s="254">
        <v>0.0</v>
      </c>
      <c r="F107" s="254">
        <v>0.0</v>
      </c>
      <c r="G107" s="254">
        <v>0.0</v>
      </c>
      <c r="H107" s="254">
        <v>0.0</v>
      </c>
      <c r="I107" s="254">
        <v>0.0</v>
      </c>
      <c r="J107" s="254">
        <v>0.0</v>
      </c>
      <c r="K107" s="254">
        <v>0.0</v>
      </c>
      <c r="L107" s="254">
        <v>0.0</v>
      </c>
      <c r="M107" s="254">
        <v>0.0</v>
      </c>
      <c r="N107" s="254">
        <v>0.0</v>
      </c>
      <c r="O107" s="251">
        <f t="shared" si="1"/>
        <v>0</v>
      </c>
      <c r="P107" s="254">
        <f t="shared" si="2"/>
        <v>0</v>
      </c>
      <c r="Q107" s="255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4.25" hidden="1" customHeight="1">
      <c r="A108" s="250" t="s">
        <v>819</v>
      </c>
      <c r="B108" s="250" t="s">
        <v>820</v>
      </c>
      <c r="C108" s="251">
        <v>0.0</v>
      </c>
      <c r="D108" s="251">
        <v>0.0</v>
      </c>
      <c r="E108" s="251">
        <v>0.0</v>
      </c>
      <c r="F108" s="251">
        <v>0.0</v>
      </c>
      <c r="G108" s="251">
        <v>0.0</v>
      </c>
      <c r="H108" s="251">
        <v>0.0</v>
      </c>
      <c r="I108" s="251">
        <v>0.0</v>
      </c>
      <c r="J108" s="251">
        <v>0.0</v>
      </c>
      <c r="K108" s="251">
        <v>0.0</v>
      </c>
      <c r="L108" s="251">
        <v>0.0</v>
      </c>
      <c r="M108" s="251">
        <v>0.0</v>
      </c>
      <c r="N108" s="251">
        <v>0.0</v>
      </c>
      <c r="O108" s="251">
        <f t="shared" si="1"/>
        <v>0</v>
      </c>
      <c r="P108" s="251">
        <f t="shared" si="2"/>
        <v>0</v>
      </c>
      <c r="Q108" s="255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4.25" hidden="1" customHeight="1">
      <c r="A109" s="253" t="s">
        <v>821</v>
      </c>
      <c r="B109" s="253" t="s">
        <v>822</v>
      </c>
      <c r="C109" s="254">
        <v>0.0</v>
      </c>
      <c r="D109" s="254">
        <v>0.0</v>
      </c>
      <c r="E109" s="254">
        <v>0.0</v>
      </c>
      <c r="F109" s="254">
        <v>0.0</v>
      </c>
      <c r="G109" s="254">
        <v>0.0</v>
      </c>
      <c r="H109" s="254">
        <v>0.0</v>
      </c>
      <c r="I109" s="254">
        <v>0.0</v>
      </c>
      <c r="J109" s="254">
        <v>0.0</v>
      </c>
      <c r="K109" s="254">
        <v>0.0</v>
      </c>
      <c r="L109" s="254">
        <v>0.0</v>
      </c>
      <c r="M109" s="254">
        <v>0.0</v>
      </c>
      <c r="N109" s="254">
        <v>0.0</v>
      </c>
      <c r="O109" s="251">
        <f t="shared" si="1"/>
        <v>0</v>
      </c>
      <c r="P109" s="254">
        <f t="shared" si="2"/>
        <v>0</v>
      </c>
      <c r="Q109" s="255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4.25" hidden="1" customHeight="1">
      <c r="A110" s="250" t="s">
        <v>823</v>
      </c>
      <c r="B110" s="250" t="s">
        <v>824</v>
      </c>
      <c r="C110" s="251">
        <v>0.0</v>
      </c>
      <c r="D110" s="251">
        <v>0.0</v>
      </c>
      <c r="E110" s="251">
        <v>0.0</v>
      </c>
      <c r="F110" s="251">
        <v>0.0</v>
      </c>
      <c r="G110" s="251">
        <v>0.0</v>
      </c>
      <c r="H110" s="251">
        <v>0.0</v>
      </c>
      <c r="I110" s="251">
        <v>0.0</v>
      </c>
      <c r="J110" s="251">
        <v>0.0</v>
      </c>
      <c r="K110" s="251">
        <v>0.0</v>
      </c>
      <c r="L110" s="251">
        <v>0.0</v>
      </c>
      <c r="M110" s="251">
        <v>0.0</v>
      </c>
      <c r="N110" s="251">
        <v>0.0</v>
      </c>
      <c r="O110" s="251">
        <f t="shared" si="1"/>
        <v>0</v>
      </c>
      <c r="P110" s="251">
        <f t="shared" si="2"/>
        <v>0</v>
      </c>
      <c r="Q110" s="252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4.25" hidden="1" customHeight="1">
      <c r="A111" s="253" t="s">
        <v>825</v>
      </c>
      <c r="B111" s="253" t="s">
        <v>826</v>
      </c>
      <c r="C111" s="254">
        <v>0.0</v>
      </c>
      <c r="D111" s="254">
        <v>0.0</v>
      </c>
      <c r="E111" s="254">
        <v>0.0</v>
      </c>
      <c r="F111" s="254">
        <v>0.0</v>
      </c>
      <c r="G111" s="254">
        <v>0.0</v>
      </c>
      <c r="H111" s="254">
        <v>0.0</v>
      </c>
      <c r="I111" s="254">
        <v>0.0</v>
      </c>
      <c r="J111" s="254">
        <v>0.0</v>
      </c>
      <c r="K111" s="254">
        <v>0.0</v>
      </c>
      <c r="L111" s="254">
        <v>0.0</v>
      </c>
      <c r="M111" s="254">
        <v>0.0</v>
      </c>
      <c r="N111" s="254">
        <v>0.0</v>
      </c>
      <c r="O111" s="251">
        <f t="shared" si="1"/>
        <v>0</v>
      </c>
      <c r="P111" s="254">
        <f t="shared" si="2"/>
        <v>0</v>
      </c>
      <c r="Q111" s="255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4.25" hidden="1" customHeight="1">
      <c r="A112" s="250" t="s">
        <v>827</v>
      </c>
      <c r="B112" s="250" t="s">
        <v>828</v>
      </c>
      <c r="C112" s="251">
        <v>0.0</v>
      </c>
      <c r="D112" s="251">
        <v>0.0</v>
      </c>
      <c r="E112" s="251">
        <v>0.0</v>
      </c>
      <c r="F112" s="251">
        <v>0.0</v>
      </c>
      <c r="G112" s="251">
        <v>0.0</v>
      </c>
      <c r="H112" s="251">
        <v>0.0</v>
      </c>
      <c r="I112" s="251">
        <v>0.0</v>
      </c>
      <c r="J112" s="251">
        <v>0.0</v>
      </c>
      <c r="K112" s="251">
        <v>0.0</v>
      </c>
      <c r="L112" s="251">
        <v>0.0</v>
      </c>
      <c r="M112" s="251">
        <v>0.0</v>
      </c>
      <c r="N112" s="251">
        <v>0.0</v>
      </c>
      <c r="O112" s="251">
        <f t="shared" si="1"/>
        <v>0</v>
      </c>
      <c r="P112" s="251">
        <f t="shared" si="2"/>
        <v>0</v>
      </c>
      <c r="Q112" s="255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4.25" hidden="1" customHeight="1">
      <c r="A113" s="253" t="s">
        <v>829</v>
      </c>
      <c r="B113" s="253" t="s">
        <v>746</v>
      </c>
      <c r="C113" s="254">
        <v>3145.55</v>
      </c>
      <c r="D113" s="254">
        <v>1792.0</v>
      </c>
      <c r="E113" s="254">
        <v>1921.58</v>
      </c>
      <c r="F113" s="254">
        <v>2859.36</v>
      </c>
      <c r="G113" s="254">
        <v>46217.05</v>
      </c>
      <c r="H113" s="254">
        <v>11948.16</v>
      </c>
      <c r="I113" s="254">
        <v>11125.56</v>
      </c>
      <c r="J113" s="254">
        <v>12260.17</v>
      </c>
      <c r="K113" s="254">
        <v>11530.51</v>
      </c>
      <c r="L113" s="254">
        <v>12792.23</v>
      </c>
      <c r="M113" s="254">
        <v>12902.57</v>
      </c>
      <c r="N113" s="254">
        <v>11509.86</v>
      </c>
      <c r="O113" s="251">
        <f t="shared" si="1"/>
        <v>-1392.71</v>
      </c>
      <c r="P113" s="254">
        <f t="shared" si="2"/>
        <v>128494.74</v>
      </c>
      <c r="Q113" s="255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4.25" hidden="1" customHeight="1">
      <c r="A114" s="250" t="s">
        <v>583</v>
      </c>
      <c r="B114" s="250" t="s">
        <v>830</v>
      </c>
      <c r="C114" s="251">
        <v>3145.55</v>
      </c>
      <c r="D114" s="251">
        <v>1792.0</v>
      </c>
      <c r="E114" s="251">
        <v>1921.58</v>
      </c>
      <c r="F114" s="251">
        <v>2859.36</v>
      </c>
      <c r="G114" s="251">
        <v>46217.05</v>
      </c>
      <c r="H114" s="251">
        <v>11948.16</v>
      </c>
      <c r="I114" s="251">
        <v>11125.56</v>
      </c>
      <c r="J114" s="251">
        <v>12260.17</v>
      </c>
      <c r="K114" s="251">
        <v>11530.51</v>
      </c>
      <c r="L114" s="251">
        <v>12792.23</v>
      </c>
      <c r="M114" s="251">
        <v>12902.57</v>
      </c>
      <c r="N114" s="251">
        <v>11509.86</v>
      </c>
      <c r="O114" s="251">
        <f t="shared" si="1"/>
        <v>-1392.71</v>
      </c>
      <c r="P114" s="251">
        <f t="shared" si="2"/>
        <v>128494.74</v>
      </c>
      <c r="Q114" s="252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4.25" hidden="1" customHeight="1">
      <c r="A115" s="253" t="s">
        <v>831</v>
      </c>
      <c r="B115" s="253" t="s">
        <v>832</v>
      </c>
      <c r="C115" s="254">
        <v>0.0</v>
      </c>
      <c r="D115" s="254">
        <v>5.14</v>
      </c>
      <c r="E115" s="254">
        <v>2.57</v>
      </c>
      <c r="F115" s="254">
        <v>0.0</v>
      </c>
      <c r="G115" s="254">
        <v>0.0</v>
      </c>
      <c r="H115" s="254">
        <v>2.56</v>
      </c>
      <c r="I115" s="254">
        <v>0.0</v>
      </c>
      <c r="J115" s="254">
        <v>0.0</v>
      </c>
      <c r="K115" s="254">
        <v>0.0</v>
      </c>
      <c r="L115" s="254">
        <v>0.0</v>
      </c>
      <c r="M115" s="254">
        <v>0.0</v>
      </c>
      <c r="N115" s="254">
        <v>0.0</v>
      </c>
      <c r="O115" s="251">
        <f t="shared" si="1"/>
        <v>0</v>
      </c>
      <c r="P115" s="254">
        <f t="shared" si="2"/>
        <v>10.27</v>
      </c>
      <c r="Q115" s="255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4.25" hidden="1" customHeight="1">
      <c r="A116" s="250" t="s">
        <v>833</v>
      </c>
      <c r="B116" s="250" t="s">
        <v>834</v>
      </c>
      <c r="C116" s="251">
        <v>557.74</v>
      </c>
      <c r="D116" s="251">
        <v>171.16</v>
      </c>
      <c r="E116" s="251">
        <v>0.0</v>
      </c>
      <c r="F116" s="251">
        <v>49.21</v>
      </c>
      <c r="G116" s="251">
        <v>233.41</v>
      </c>
      <c r="H116" s="251">
        <v>25.94</v>
      </c>
      <c r="I116" s="251">
        <v>592.35</v>
      </c>
      <c r="J116" s="251">
        <v>48.76</v>
      </c>
      <c r="K116" s="251">
        <v>310.79</v>
      </c>
      <c r="L116" s="251">
        <v>191.54</v>
      </c>
      <c r="M116" s="251">
        <v>57.16</v>
      </c>
      <c r="N116" s="251">
        <v>8607.89</v>
      </c>
      <c r="O116" s="251">
        <f t="shared" si="1"/>
        <v>8550.73</v>
      </c>
      <c r="P116" s="251">
        <f t="shared" si="2"/>
        <v>2238.06</v>
      </c>
      <c r="Q116" s="255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4.25" hidden="1" customHeight="1">
      <c r="A117" s="253" t="s">
        <v>835</v>
      </c>
      <c r="B117" s="253" t="s">
        <v>836</v>
      </c>
      <c r="C117" s="254">
        <v>957.3</v>
      </c>
      <c r="D117" s="254">
        <v>16.25</v>
      </c>
      <c r="E117" s="254">
        <v>486.72</v>
      </c>
      <c r="F117" s="254">
        <v>553.59</v>
      </c>
      <c r="G117" s="254">
        <v>158.62</v>
      </c>
      <c r="H117" s="254">
        <v>10775.43</v>
      </c>
      <c r="I117" s="254">
        <v>9048.4</v>
      </c>
      <c r="J117" s="254">
        <v>10344.27</v>
      </c>
      <c r="K117" s="254">
        <v>9921.05</v>
      </c>
      <c r="L117" s="254">
        <v>10211.19</v>
      </c>
      <c r="M117" s="254">
        <v>10260.85</v>
      </c>
      <c r="N117" s="254">
        <v>1277.51</v>
      </c>
      <c r="O117" s="251">
        <f t="shared" si="1"/>
        <v>-8983.34</v>
      </c>
      <c r="P117" s="254">
        <f t="shared" si="2"/>
        <v>62733.67</v>
      </c>
      <c r="Q117" s="255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4.25" hidden="1" customHeight="1">
      <c r="A118" s="250" t="s">
        <v>837</v>
      </c>
      <c r="B118" s="250" t="s">
        <v>838</v>
      </c>
      <c r="C118" s="251">
        <v>0.0</v>
      </c>
      <c r="D118" s="251">
        <v>15.73</v>
      </c>
      <c r="E118" s="251">
        <v>24.23</v>
      </c>
      <c r="F118" s="251">
        <v>1623.97</v>
      </c>
      <c r="G118" s="251">
        <v>45819.94</v>
      </c>
      <c r="H118" s="251">
        <v>1144.23</v>
      </c>
      <c r="I118" s="251">
        <v>1484.81</v>
      </c>
      <c r="J118" s="251">
        <v>1867.14</v>
      </c>
      <c r="K118" s="251">
        <v>127.79</v>
      </c>
      <c r="L118" s="251">
        <v>2389.5</v>
      </c>
      <c r="M118" s="251">
        <v>1321.54</v>
      </c>
      <c r="N118" s="251">
        <v>199.52</v>
      </c>
      <c r="O118" s="251">
        <f t="shared" si="1"/>
        <v>-1122.02</v>
      </c>
      <c r="P118" s="251">
        <f t="shared" si="2"/>
        <v>55818.88</v>
      </c>
      <c r="Q118" s="255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4.25" hidden="1" customHeight="1">
      <c r="A119" s="253" t="s">
        <v>839</v>
      </c>
      <c r="B119" s="253" t="s">
        <v>840</v>
      </c>
      <c r="C119" s="254">
        <v>0.0</v>
      </c>
      <c r="D119" s="254">
        <v>0.0</v>
      </c>
      <c r="E119" s="254">
        <v>0.0</v>
      </c>
      <c r="F119" s="254">
        <v>632.59</v>
      </c>
      <c r="G119" s="254">
        <v>5.08</v>
      </c>
      <c r="H119" s="254">
        <v>0.0</v>
      </c>
      <c r="I119" s="254">
        <v>0.0</v>
      </c>
      <c r="J119" s="254">
        <v>0.0</v>
      </c>
      <c r="K119" s="254">
        <v>1170.88</v>
      </c>
      <c r="L119" s="254">
        <v>0.0</v>
      </c>
      <c r="M119" s="254">
        <v>1263.02</v>
      </c>
      <c r="N119" s="254">
        <v>1424.94</v>
      </c>
      <c r="O119" s="251">
        <f t="shared" si="1"/>
        <v>161.92</v>
      </c>
      <c r="P119" s="254">
        <f t="shared" si="2"/>
        <v>3071.57</v>
      </c>
      <c r="Q119" s="255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4.25" hidden="1" customHeight="1">
      <c r="A120" s="250" t="s">
        <v>841</v>
      </c>
      <c r="B120" s="250" t="s">
        <v>842</v>
      </c>
      <c r="C120" s="251">
        <v>1630.51</v>
      </c>
      <c r="D120" s="251">
        <v>1583.72</v>
      </c>
      <c r="E120" s="251">
        <v>1408.06</v>
      </c>
      <c r="F120" s="251">
        <v>0.0</v>
      </c>
      <c r="G120" s="251">
        <v>0.0</v>
      </c>
      <c r="H120" s="251">
        <v>0.0</v>
      </c>
      <c r="I120" s="251">
        <v>0.0</v>
      </c>
      <c r="J120" s="251">
        <v>0.0</v>
      </c>
      <c r="K120" s="251">
        <v>0.0</v>
      </c>
      <c r="L120" s="251">
        <v>0.0</v>
      </c>
      <c r="M120" s="251">
        <v>0.0</v>
      </c>
      <c r="N120" s="251">
        <v>0.0</v>
      </c>
      <c r="O120" s="251">
        <f t="shared" si="1"/>
        <v>0</v>
      </c>
      <c r="P120" s="251">
        <f t="shared" si="2"/>
        <v>4622.29</v>
      </c>
      <c r="Q120" s="255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4.25" hidden="1" customHeight="1">
      <c r="A121" s="253" t="s">
        <v>843</v>
      </c>
      <c r="B121" s="253" t="s">
        <v>844</v>
      </c>
      <c r="C121" s="254">
        <v>6002.33</v>
      </c>
      <c r="D121" s="254">
        <v>3334.45</v>
      </c>
      <c r="E121" s="254">
        <v>3485.87</v>
      </c>
      <c r="F121" s="254">
        <v>4588.74</v>
      </c>
      <c r="G121" s="254">
        <v>6924.6</v>
      </c>
      <c r="H121" s="254">
        <v>14148.9</v>
      </c>
      <c r="I121" s="254">
        <v>40933.85</v>
      </c>
      <c r="J121" s="254">
        <v>30546.13</v>
      </c>
      <c r="K121" s="254">
        <v>15191.26</v>
      </c>
      <c r="L121" s="254">
        <v>4100.81</v>
      </c>
      <c r="M121" s="254">
        <v>31517.61</v>
      </c>
      <c r="N121" s="254">
        <v>46502.32</v>
      </c>
      <c r="O121" s="251">
        <f t="shared" si="1"/>
        <v>14984.71</v>
      </c>
      <c r="P121" s="254">
        <f t="shared" si="2"/>
        <v>160774.55</v>
      </c>
      <c r="Q121" s="255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4.25" hidden="1" customHeight="1">
      <c r="A122" s="250" t="s">
        <v>845</v>
      </c>
      <c r="B122" s="250" t="s">
        <v>846</v>
      </c>
      <c r="C122" s="251">
        <v>2.33</v>
      </c>
      <c r="D122" s="251">
        <v>334.45</v>
      </c>
      <c r="E122" s="251">
        <v>485.87</v>
      </c>
      <c r="F122" s="251">
        <v>1108.8</v>
      </c>
      <c r="G122" s="251">
        <v>3264.3</v>
      </c>
      <c r="H122" s="251">
        <v>11148.9</v>
      </c>
      <c r="I122" s="251">
        <v>25391.91</v>
      </c>
      <c r="J122" s="251">
        <v>839.98</v>
      </c>
      <c r="K122" s="251">
        <v>589.24</v>
      </c>
      <c r="L122" s="251">
        <v>540.54</v>
      </c>
      <c r="M122" s="251">
        <v>810.71</v>
      </c>
      <c r="N122" s="251">
        <v>21868.72</v>
      </c>
      <c r="O122" s="251">
        <f t="shared" si="1"/>
        <v>21058.01</v>
      </c>
      <c r="P122" s="251">
        <f t="shared" si="2"/>
        <v>44517.03</v>
      </c>
      <c r="Q122" s="252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4.25" hidden="1" customHeight="1">
      <c r="A123" s="253" t="s">
        <v>847</v>
      </c>
      <c r="B123" s="253" t="s">
        <v>848</v>
      </c>
      <c r="C123" s="254">
        <v>0.0</v>
      </c>
      <c r="D123" s="254">
        <v>0.0</v>
      </c>
      <c r="E123" s="254">
        <v>0.0</v>
      </c>
      <c r="F123" s="254">
        <v>1048.4</v>
      </c>
      <c r="G123" s="254">
        <v>30.01</v>
      </c>
      <c r="H123" s="254">
        <v>90.02</v>
      </c>
      <c r="I123" s="254">
        <v>9.02</v>
      </c>
      <c r="J123" s="254">
        <v>0.0</v>
      </c>
      <c r="K123" s="254">
        <v>18.6</v>
      </c>
      <c r="L123" s="254">
        <v>0.0</v>
      </c>
      <c r="M123" s="254">
        <v>0.0</v>
      </c>
      <c r="N123" s="254">
        <v>0.0</v>
      </c>
      <c r="O123" s="251">
        <f t="shared" si="1"/>
        <v>0</v>
      </c>
      <c r="P123" s="254">
        <f t="shared" si="2"/>
        <v>1196.05</v>
      </c>
      <c r="Q123" s="255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4.25" hidden="1" customHeight="1">
      <c r="A124" s="250" t="s">
        <v>849</v>
      </c>
      <c r="B124" s="250" t="s">
        <v>850</v>
      </c>
      <c r="C124" s="251">
        <v>0.0</v>
      </c>
      <c r="D124" s="251">
        <v>0.0</v>
      </c>
      <c r="E124" s="251">
        <v>0.0</v>
      </c>
      <c r="F124" s="251">
        <v>0.0</v>
      </c>
      <c r="G124" s="251">
        <v>539.94</v>
      </c>
      <c r="H124" s="251">
        <v>659.96</v>
      </c>
      <c r="I124" s="251">
        <v>720.0</v>
      </c>
      <c r="J124" s="251">
        <v>839.98</v>
      </c>
      <c r="K124" s="251">
        <v>570.64</v>
      </c>
      <c r="L124" s="251">
        <v>540.54</v>
      </c>
      <c r="M124" s="251">
        <v>810.71</v>
      </c>
      <c r="N124" s="251">
        <v>720.91</v>
      </c>
      <c r="O124" s="251">
        <f t="shared" si="1"/>
        <v>-89.8</v>
      </c>
      <c r="P124" s="251">
        <f t="shared" si="2"/>
        <v>4681.77</v>
      </c>
      <c r="Q124" s="255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4.25" hidden="1" customHeight="1">
      <c r="A125" s="253" t="s">
        <v>851</v>
      </c>
      <c r="B125" s="253" t="s">
        <v>852</v>
      </c>
      <c r="C125" s="254">
        <v>2.33</v>
      </c>
      <c r="D125" s="254">
        <v>334.45</v>
      </c>
      <c r="E125" s="254">
        <v>485.87</v>
      </c>
      <c r="F125" s="254">
        <v>60.4</v>
      </c>
      <c r="G125" s="254">
        <v>2694.35</v>
      </c>
      <c r="H125" s="254">
        <v>10398.92</v>
      </c>
      <c r="I125" s="254">
        <v>24662.89</v>
      </c>
      <c r="J125" s="254">
        <v>0.0</v>
      </c>
      <c r="K125" s="254">
        <v>0.0</v>
      </c>
      <c r="L125" s="254">
        <v>0.0</v>
      </c>
      <c r="M125" s="254">
        <v>0.0</v>
      </c>
      <c r="N125" s="254">
        <v>21147.81</v>
      </c>
      <c r="O125" s="251">
        <f t="shared" si="1"/>
        <v>21147.81</v>
      </c>
      <c r="P125" s="254">
        <f t="shared" si="2"/>
        <v>38639.21</v>
      </c>
      <c r="Q125" s="255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4.25" hidden="1" customHeight="1">
      <c r="A126" s="250" t="s">
        <v>853</v>
      </c>
      <c r="B126" s="250" t="s">
        <v>854</v>
      </c>
      <c r="C126" s="251">
        <v>6000.0</v>
      </c>
      <c r="D126" s="251">
        <v>3000.0</v>
      </c>
      <c r="E126" s="251">
        <v>3000.0</v>
      </c>
      <c r="F126" s="251">
        <v>3479.94</v>
      </c>
      <c r="G126" s="251">
        <v>3660.3</v>
      </c>
      <c r="H126" s="251">
        <v>3000.0</v>
      </c>
      <c r="I126" s="251">
        <v>15541.94</v>
      </c>
      <c r="J126" s="251">
        <v>29706.15</v>
      </c>
      <c r="K126" s="251">
        <v>14602.02</v>
      </c>
      <c r="L126" s="251">
        <v>3560.27</v>
      </c>
      <c r="M126" s="251">
        <v>30706.9</v>
      </c>
      <c r="N126" s="251">
        <v>24633.6</v>
      </c>
      <c r="O126" s="251">
        <f t="shared" si="1"/>
        <v>-6073.3</v>
      </c>
      <c r="P126" s="251">
        <f t="shared" si="2"/>
        <v>116257.52</v>
      </c>
      <c r="Q126" s="255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4.25" hidden="1" customHeight="1">
      <c r="A127" s="253" t="s">
        <v>855</v>
      </c>
      <c r="B127" s="253" t="s">
        <v>856</v>
      </c>
      <c r="C127" s="254">
        <v>0.0</v>
      </c>
      <c r="D127" s="254">
        <v>0.0</v>
      </c>
      <c r="E127" s="254">
        <v>0.0</v>
      </c>
      <c r="F127" s="254">
        <v>0.0</v>
      </c>
      <c r="G127" s="254">
        <v>0.0</v>
      </c>
      <c r="H127" s="254">
        <v>0.0</v>
      </c>
      <c r="I127" s="254">
        <v>11509.94</v>
      </c>
      <c r="J127" s="254">
        <v>26706.15</v>
      </c>
      <c r="K127" s="254">
        <v>11105.14</v>
      </c>
      <c r="L127" s="254">
        <v>0.0</v>
      </c>
      <c r="M127" s="254">
        <v>25146.25</v>
      </c>
      <c r="N127" s="254">
        <v>17955.15</v>
      </c>
      <c r="O127" s="251">
        <f t="shared" si="1"/>
        <v>-7191.1</v>
      </c>
      <c r="P127" s="254">
        <f t="shared" si="2"/>
        <v>74467.48</v>
      </c>
      <c r="Q127" s="255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4.25" hidden="1" customHeight="1">
      <c r="A128" s="250" t="s">
        <v>857</v>
      </c>
      <c r="B128" s="250" t="s">
        <v>844</v>
      </c>
      <c r="C128" s="251">
        <v>6000.0</v>
      </c>
      <c r="D128" s="251">
        <v>3000.0</v>
      </c>
      <c r="E128" s="251">
        <v>3000.0</v>
      </c>
      <c r="F128" s="251">
        <v>3479.94</v>
      </c>
      <c r="G128" s="251">
        <v>3660.3</v>
      </c>
      <c r="H128" s="251">
        <v>3000.0</v>
      </c>
      <c r="I128" s="251">
        <v>4032.0</v>
      </c>
      <c r="J128" s="251">
        <v>3000.0</v>
      </c>
      <c r="K128" s="251">
        <v>3496.88</v>
      </c>
      <c r="L128" s="251">
        <v>3560.27</v>
      </c>
      <c r="M128" s="251">
        <v>5560.65</v>
      </c>
      <c r="N128" s="251">
        <v>6678.45</v>
      </c>
      <c r="O128" s="251">
        <f t="shared" si="1"/>
        <v>1117.8</v>
      </c>
      <c r="P128" s="251">
        <f t="shared" si="2"/>
        <v>41790.04</v>
      </c>
      <c r="Q128" s="255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4.25" hidden="1" customHeight="1">
      <c r="A129" s="253" t="s">
        <v>858</v>
      </c>
      <c r="B129" s="253" t="s">
        <v>490</v>
      </c>
      <c r="C129" s="254">
        <v>154063.94</v>
      </c>
      <c r="D129" s="254">
        <v>172513.58</v>
      </c>
      <c r="E129" s="254">
        <v>148271.14</v>
      </c>
      <c r="F129" s="254">
        <v>188426.23</v>
      </c>
      <c r="G129" s="254">
        <v>177728.92</v>
      </c>
      <c r="H129" s="254">
        <v>196331.64</v>
      </c>
      <c r="I129" s="254">
        <v>116531.36</v>
      </c>
      <c r="J129" s="254">
        <v>124979.47</v>
      </c>
      <c r="K129" s="254">
        <v>115979.17</v>
      </c>
      <c r="L129" s="254">
        <v>123866.85</v>
      </c>
      <c r="M129" s="254">
        <v>129615.44</v>
      </c>
      <c r="N129" s="254">
        <v>144529.38</v>
      </c>
      <c r="O129" s="251">
        <f t="shared" si="1"/>
        <v>14913.94</v>
      </c>
      <c r="P129" s="254">
        <f t="shared" si="2"/>
        <v>1648307.74</v>
      </c>
      <c r="Q129" s="255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4.25" hidden="1" customHeight="1">
      <c r="A130" s="250" t="s">
        <v>859</v>
      </c>
      <c r="B130" s="250" t="s">
        <v>490</v>
      </c>
      <c r="C130" s="251">
        <v>154063.94</v>
      </c>
      <c r="D130" s="251">
        <v>172513.58</v>
      </c>
      <c r="E130" s="251">
        <v>148271.14</v>
      </c>
      <c r="F130" s="251">
        <v>188426.23</v>
      </c>
      <c r="G130" s="251">
        <v>177728.92</v>
      </c>
      <c r="H130" s="251">
        <v>196331.64</v>
      </c>
      <c r="I130" s="251">
        <v>116531.36</v>
      </c>
      <c r="J130" s="251">
        <v>124979.47</v>
      </c>
      <c r="K130" s="251">
        <v>115979.17</v>
      </c>
      <c r="L130" s="251">
        <v>123866.85</v>
      </c>
      <c r="M130" s="251">
        <v>129615.44</v>
      </c>
      <c r="N130" s="251">
        <v>144529.38</v>
      </c>
      <c r="O130" s="251">
        <f t="shared" si="1"/>
        <v>14913.94</v>
      </c>
      <c r="P130" s="251">
        <f t="shared" si="2"/>
        <v>1648307.74</v>
      </c>
      <c r="Q130" s="255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4.25" hidden="1" customHeight="1">
      <c r="A131" s="253" t="s">
        <v>860</v>
      </c>
      <c r="B131" s="253" t="s">
        <v>490</v>
      </c>
      <c r="C131" s="254">
        <v>154063.94</v>
      </c>
      <c r="D131" s="254">
        <v>172513.58</v>
      </c>
      <c r="E131" s="254">
        <v>148271.14</v>
      </c>
      <c r="F131" s="254">
        <v>188426.23</v>
      </c>
      <c r="G131" s="254">
        <v>177728.92</v>
      </c>
      <c r="H131" s="254">
        <v>196331.64</v>
      </c>
      <c r="I131" s="254">
        <v>116531.36</v>
      </c>
      <c r="J131" s="254">
        <v>124979.47</v>
      </c>
      <c r="K131" s="254">
        <v>115979.17</v>
      </c>
      <c r="L131" s="254">
        <v>123866.85</v>
      </c>
      <c r="M131" s="254">
        <v>129615.44</v>
      </c>
      <c r="N131" s="254">
        <v>144529.38</v>
      </c>
      <c r="O131" s="251">
        <f t="shared" si="1"/>
        <v>14913.94</v>
      </c>
      <c r="P131" s="254">
        <f t="shared" si="2"/>
        <v>1648307.74</v>
      </c>
      <c r="Q131" s="255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4.25" hidden="1" customHeight="1">
      <c r="A132" s="250" t="s">
        <v>861</v>
      </c>
      <c r="B132" s="250" t="s">
        <v>490</v>
      </c>
      <c r="C132" s="251">
        <v>154063.94</v>
      </c>
      <c r="D132" s="251">
        <v>172513.58</v>
      </c>
      <c r="E132" s="251">
        <v>148271.14</v>
      </c>
      <c r="F132" s="251">
        <v>188426.23</v>
      </c>
      <c r="G132" s="251">
        <v>177728.92</v>
      </c>
      <c r="H132" s="251">
        <v>196331.64</v>
      </c>
      <c r="I132" s="251">
        <v>116531.36</v>
      </c>
      <c r="J132" s="251">
        <v>124979.47</v>
      </c>
      <c r="K132" s="251">
        <v>115979.17</v>
      </c>
      <c r="L132" s="251">
        <v>123866.85</v>
      </c>
      <c r="M132" s="251">
        <v>129615.44</v>
      </c>
      <c r="N132" s="251">
        <v>144529.38</v>
      </c>
      <c r="O132" s="251">
        <f t="shared" si="1"/>
        <v>14913.94</v>
      </c>
      <c r="P132" s="251">
        <f t="shared" si="2"/>
        <v>1648307.74</v>
      </c>
      <c r="Q132" s="255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4.25" hidden="1" customHeight="1">
      <c r="A133" s="253" t="s">
        <v>862</v>
      </c>
      <c r="B133" s="253" t="s">
        <v>863</v>
      </c>
      <c r="C133" s="254">
        <v>42369.87</v>
      </c>
      <c r="D133" s="254">
        <v>45665.36</v>
      </c>
      <c r="E133" s="254">
        <v>39248.24</v>
      </c>
      <c r="F133" s="254">
        <v>51465.77</v>
      </c>
      <c r="G133" s="254">
        <v>47045.89</v>
      </c>
      <c r="H133" s="254">
        <v>51970.14</v>
      </c>
      <c r="I133" s="254">
        <v>34369.45</v>
      </c>
      <c r="J133" s="254">
        <v>36233.65</v>
      </c>
      <c r="K133" s="254">
        <v>34718.15</v>
      </c>
      <c r="L133" s="254">
        <v>37483.62</v>
      </c>
      <c r="M133" s="254">
        <v>37330.479999999996</v>
      </c>
      <c r="N133" s="254">
        <v>40984.23</v>
      </c>
      <c r="O133" s="251">
        <f t="shared" si="1"/>
        <v>3653.75</v>
      </c>
      <c r="P133" s="254">
        <f t="shared" si="2"/>
        <v>457900.62</v>
      </c>
      <c r="Q133" s="255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4.25" hidden="1" customHeight="1">
      <c r="A134" s="250" t="s">
        <v>864</v>
      </c>
      <c r="B134" s="250" t="s">
        <v>865</v>
      </c>
      <c r="C134" s="251">
        <v>111694.07</v>
      </c>
      <c r="D134" s="251">
        <v>126848.22</v>
      </c>
      <c r="E134" s="251">
        <v>109022.9</v>
      </c>
      <c r="F134" s="251">
        <v>136960.46</v>
      </c>
      <c r="G134" s="251">
        <v>130683.03</v>
      </c>
      <c r="H134" s="251">
        <v>144361.5</v>
      </c>
      <c r="I134" s="251">
        <v>82161.91</v>
      </c>
      <c r="J134" s="251">
        <v>88745.82</v>
      </c>
      <c r="K134" s="251">
        <v>81261.02</v>
      </c>
      <c r="L134" s="251">
        <v>86383.23</v>
      </c>
      <c r="M134" s="251">
        <v>92284.96</v>
      </c>
      <c r="N134" s="251">
        <v>103545.15</v>
      </c>
      <c r="O134" s="251">
        <f t="shared" si="1"/>
        <v>11260.19</v>
      </c>
      <c r="P134" s="251">
        <f t="shared" si="2"/>
        <v>1190407.12</v>
      </c>
      <c r="Q134" s="255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4.25" hidden="1" customHeight="1">
      <c r="A135" s="253" t="s">
        <v>866</v>
      </c>
      <c r="B135" s="253" t="s">
        <v>78</v>
      </c>
      <c r="C135" s="254">
        <v>322851.01</v>
      </c>
      <c r="D135" s="254">
        <v>280849.82000000007</v>
      </c>
      <c r="E135" s="254">
        <v>189429.1399999999</v>
      </c>
      <c r="F135" s="254">
        <v>488936.51</v>
      </c>
      <c r="G135" s="254">
        <v>414634.47</v>
      </c>
      <c r="H135" s="254">
        <v>423887.8300000001</v>
      </c>
      <c r="I135" s="254">
        <v>552127.2699999998</v>
      </c>
      <c r="J135" s="254">
        <v>755356.96</v>
      </c>
      <c r="K135" s="254">
        <v>564046.0899999999</v>
      </c>
      <c r="L135" s="254">
        <v>687520.26</v>
      </c>
      <c r="M135" s="254">
        <v>685977.73</v>
      </c>
      <c r="N135" s="254">
        <v>570146.02</v>
      </c>
      <c r="O135" s="251">
        <f t="shared" si="1"/>
        <v>-115831.71</v>
      </c>
      <c r="P135" s="254">
        <f t="shared" si="2"/>
        <v>5365617.09</v>
      </c>
      <c r="Q135" s="252"/>
      <c r="R135" s="281"/>
      <c r="S135" s="281"/>
      <c r="T135" s="281"/>
      <c r="U135" s="281"/>
      <c r="V135" s="281"/>
      <c r="W135" s="281"/>
      <c r="X135" s="281"/>
      <c r="Y135" s="281"/>
      <c r="Z135" s="281"/>
    </row>
    <row r="136" ht="14.25" hidden="1" customHeight="1">
      <c r="A136" s="250" t="s">
        <v>867</v>
      </c>
      <c r="B136" s="250" t="s">
        <v>495</v>
      </c>
      <c r="C136" s="251">
        <v>322851.00999999995</v>
      </c>
      <c r="D136" s="251">
        <v>280849.82</v>
      </c>
      <c r="E136" s="251">
        <v>189429.14000000004</v>
      </c>
      <c r="F136" s="251">
        <v>488936.5100000001</v>
      </c>
      <c r="G136" s="251">
        <v>414634.47000000003</v>
      </c>
      <c r="H136" s="251">
        <v>423887.83000000013</v>
      </c>
      <c r="I136" s="251">
        <v>552127.2699999998</v>
      </c>
      <c r="J136" s="251">
        <v>755356.96</v>
      </c>
      <c r="K136" s="251">
        <v>564046.0899999999</v>
      </c>
      <c r="L136" s="251">
        <v>687520.26</v>
      </c>
      <c r="M136" s="251">
        <v>685977.73</v>
      </c>
      <c r="N136" s="251">
        <v>570146.02</v>
      </c>
      <c r="O136" s="251">
        <f t="shared" si="1"/>
        <v>-115831.71</v>
      </c>
      <c r="P136" s="251">
        <f t="shared" si="2"/>
        <v>5365617.09</v>
      </c>
      <c r="Q136" s="252"/>
      <c r="R136" s="281"/>
      <c r="S136" s="281"/>
      <c r="T136" s="281"/>
      <c r="U136" s="281"/>
      <c r="V136" s="281"/>
      <c r="W136" s="281"/>
      <c r="X136" s="281"/>
      <c r="Y136" s="281"/>
      <c r="Z136" s="281"/>
    </row>
    <row r="137" ht="14.25" hidden="1" customHeight="1">
      <c r="A137" s="253" t="s">
        <v>868</v>
      </c>
      <c r="B137" s="253" t="s">
        <v>498</v>
      </c>
      <c r="C137" s="254">
        <v>168787.07000000007</v>
      </c>
      <c r="D137" s="254">
        <v>108336.23999999999</v>
      </c>
      <c r="E137" s="254">
        <v>41158.0</v>
      </c>
      <c r="F137" s="254">
        <v>300510.28</v>
      </c>
      <c r="G137" s="254">
        <v>236905.55000000005</v>
      </c>
      <c r="H137" s="254">
        <v>227556.18999999994</v>
      </c>
      <c r="I137" s="254">
        <v>435595.9099999999</v>
      </c>
      <c r="J137" s="254">
        <v>630377.49</v>
      </c>
      <c r="K137" s="254">
        <v>448066.9199999999</v>
      </c>
      <c r="L137" s="254">
        <v>563653.4099999999</v>
      </c>
      <c r="M137" s="254">
        <v>556362.29</v>
      </c>
      <c r="N137" s="254">
        <v>425616.64000000013</v>
      </c>
      <c r="O137" s="251">
        <f t="shared" si="1"/>
        <v>-130745.65</v>
      </c>
      <c r="P137" s="254">
        <f t="shared" si="2"/>
        <v>3717309.35</v>
      </c>
      <c r="Q137" s="252"/>
      <c r="R137" s="281"/>
      <c r="S137" s="281"/>
      <c r="T137" s="281"/>
      <c r="U137" s="281"/>
      <c r="V137" s="281"/>
      <c r="W137" s="281"/>
      <c r="X137" s="281"/>
      <c r="Y137" s="281"/>
      <c r="Z137" s="281"/>
    </row>
    <row r="138" ht="14.2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82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4.2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82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4.2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82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4.2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82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4.2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82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4.2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82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4.2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82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4.2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82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4.2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82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4.2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82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4.2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82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4.2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82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4.2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82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4.2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82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4.2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82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4.2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82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4.2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82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4.2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82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4.2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82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4.2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82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4.2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82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4.2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82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4.2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82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4.2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82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4.2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82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4.2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82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4.2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82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4.2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82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4.2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82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4.2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82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4.2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82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4.2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82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4.2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82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4.2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82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4.2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82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4.2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82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4.2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82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4.2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82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4.2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82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4.2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82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4.2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82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4.2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82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4.2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82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4.2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82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4.2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82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4.2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82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4.2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82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4.2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82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4.2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82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4.2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82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4.2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82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4.2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82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4.2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82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4.2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82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4.2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82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4.2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82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4.2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82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4.2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82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4.2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82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4.2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82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4.2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82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4.2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82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4.2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82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4.2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82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4.2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82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4.2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82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4.2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82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4.2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82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4.2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82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4.2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82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4.2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82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4.2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82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4.2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82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4.2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82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4.2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82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4.2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82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4.2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82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4.2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82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4.2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82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4.2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82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4.2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82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4.2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82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4.2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82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4.2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82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4.2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82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4.2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82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4.2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82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4.2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82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4.2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82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4.2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82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4.2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82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4.2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82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4.2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82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4.2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82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4.2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82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4.2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82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4.2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82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4.2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82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4.2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82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4.2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82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4.2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82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4.2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82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4.2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82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4.2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82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4.2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82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4.2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82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4.2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82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4.2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82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4.2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82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4.2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82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4.2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82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4.2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82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4.2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82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4.2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82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4.2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82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4.2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82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4.2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82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4.2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82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4.2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82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4.2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82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4.2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82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4.2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82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4.2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82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4.2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82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4.2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82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4.2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82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4.2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82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4.2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82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4.2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82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4.2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82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4.2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82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4.2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82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4.2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82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4.2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82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4.2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82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4.2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82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4.2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82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4.2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82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4.2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82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4.2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82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4.2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82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4.2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82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4.2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82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4.2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82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4.2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82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4.2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82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4.2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82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4.2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82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4.2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82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4.2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82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4.2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82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4.2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82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4.2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82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4.2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82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4.2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82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4.2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82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4.2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82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4.2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82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4.2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82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4.2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82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4.2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82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4.2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82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4.2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82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4.2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82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4.2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82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4.2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82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4.2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82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4.2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82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4.2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82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4.2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82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4.2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82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4.2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82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4.2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82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4.2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82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4.2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82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4.2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82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4.2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82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4.2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82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4.2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82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4.2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82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4.2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82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4.2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82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4.2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82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4.2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82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4.2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82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4.2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82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4.2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82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4.2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82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4.2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82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4.2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82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4.2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82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4.2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82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4.2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82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4.2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82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4.2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82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4.2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82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4.2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82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4.2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82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4.2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82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4.2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82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4.2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82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4.2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82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4.2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82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4.2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82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4.2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82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4.2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82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4.2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82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4.2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82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4.2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82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4.2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82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4.2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82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4.2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82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4.2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82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4.2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82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4.2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82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4.2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82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4.2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82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4.2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82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4.2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82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4.2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82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4.2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82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4.2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82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4.2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82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4.2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82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4.2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82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4.2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82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4.2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82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4.2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82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4.2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82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4.2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82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4.2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82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4.2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82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4.2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82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4.2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82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4.2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82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4.2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82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4.2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82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4.2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82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4.2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82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4.2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82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4.2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82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4.2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82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4.2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82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4.2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82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4.2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82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4.2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82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4.2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82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4.2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82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4.2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82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4.2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82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4.2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82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4.2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82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4.2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82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4.2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82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4.2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82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4.2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82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4.2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82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4.2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82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4.2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82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4.2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82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4.2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82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4.2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82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4.2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82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4.2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82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4.2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82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4.2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82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4.2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82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4.2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82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4.2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82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4.2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82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4.2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82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4.2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82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4.2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82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4.2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82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4.2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82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4.2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82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4.2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82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4.2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82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4.2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82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4.2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82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4.2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82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4.2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82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4.2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82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4.2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82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4.2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82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4.2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82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4.2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82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4.2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82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4.2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82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4.2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82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4.2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82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4.2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82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4.2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82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4.2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82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4.2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82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4.2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82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4.2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82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4.2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82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4.2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82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4.2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82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4.2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82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4.2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82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4.2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82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4.2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82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4.2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82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4.2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82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4.2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82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4.2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82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4.2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82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4.2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82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4.2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82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4.2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82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4.2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82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4.2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82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4.2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82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4.2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82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4.2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82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4.2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82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4.2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82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4.2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82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4.2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82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4.2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82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4.2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82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4.2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82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4.2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82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4.2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82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4.2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82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4.2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82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4.2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82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4.2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82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4.2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82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4.2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82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4.2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82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4.2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82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4.2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82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4.2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82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4.2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82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4.2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82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4.2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82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4.2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82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4.2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82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4.2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82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4.2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82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4.2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82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4.2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82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4.2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82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4.2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82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4.2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82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4.2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82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4.2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82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4.2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82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4.2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82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4.2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82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4.2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82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4.2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82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4.2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82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4.2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82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4.2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82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4.2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82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4.2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82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4.2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82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4.2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82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4.2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82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4.2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82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4.2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82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4.2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82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4.2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82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4.2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82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4.2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82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4.2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82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4.2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82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4.2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82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4.2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82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4.2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82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4.2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82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4.2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82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4.2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82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4.2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82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4.2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82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4.2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82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4.2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82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4.2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82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4.2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82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4.2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82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4.2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82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4.2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82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4.2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82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4.2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82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4.2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82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4.2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82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4.2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82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4.2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82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4.2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82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4.2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82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4.2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82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4.2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82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4.2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82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4.2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82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4.2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82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4.2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82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4.2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82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4.2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82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4.2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82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4.2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82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4.2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82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4.2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82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4.2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82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4.2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82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4.2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82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4.2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82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4.2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82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4.2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82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4.2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82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4.2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82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4.2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82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4.2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82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4.2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82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4.2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82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4.2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82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4.2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82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4.2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82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4.2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82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4.2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82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4.2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82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4.2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82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4.2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82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4.2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82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4.2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82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4.2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82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4.2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82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4.2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82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4.2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82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4.2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82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4.2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82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4.2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82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4.2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82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4.2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82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4.2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82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4.2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82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4.2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82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4.2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82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4.2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82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4.2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82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4.2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82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4.2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82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4.2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82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4.2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82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4.2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82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4.2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82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4.2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82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4.2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82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4.2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82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4.2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82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4.2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82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4.2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82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4.2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82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4.2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82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4.2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82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4.2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82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4.2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82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4.2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82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4.2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82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4.2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82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4.2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82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4.2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82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4.2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82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4.2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82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4.2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82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4.2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82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4.2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82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4.2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82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4.2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82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4.2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82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4.2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82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4.2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82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4.2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82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4.2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82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4.2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82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4.2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82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4.2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82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4.2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82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4.2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82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4.2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82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4.2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82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4.2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82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4.2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82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4.2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82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4.2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82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4.2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82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4.2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82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4.2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82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4.2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82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4.2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82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4.2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82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4.2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82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4.2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82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4.2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82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4.2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82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4.2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82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4.2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82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4.2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82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4.2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82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4.2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82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4.2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82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4.2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82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4.2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82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4.2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82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4.2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82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4.2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82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4.2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82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4.2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82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4.2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82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4.2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82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4.2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82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4.2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82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4.2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82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4.2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82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4.2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82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4.2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82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4.2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82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4.2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82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4.2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82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4.2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82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4.2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82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4.2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82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4.2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82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4.2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82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4.2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82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4.2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82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4.2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82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4.2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82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4.2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82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4.2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82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4.2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82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4.2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82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4.2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82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4.2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82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4.2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82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4.2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82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4.2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82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4.2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82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4.2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82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4.2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82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4.2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82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4.2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82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4.2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82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4.2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82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4.2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82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4.2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82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4.2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82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4.2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82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4.2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82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4.2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82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4.2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82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4.2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82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4.2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82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4.2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82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4.2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82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4.2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82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4.2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82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4.2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82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4.2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82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4.2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82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4.2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82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4.2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82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4.2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82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4.2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82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4.2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82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4.2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82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4.2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82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4.2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82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4.2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82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4.2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82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4.2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82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4.2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82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4.2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82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4.2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82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4.2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82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4.2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82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4.2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82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4.2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82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4.2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82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4.2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82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4.2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82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4.2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82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4.2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82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4.2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82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4.2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82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4.2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82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4.2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82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4.2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82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4.2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82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4.2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82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4.2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82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4.2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82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4.2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82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4.2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82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4.2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82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4.2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82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4.2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82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4.2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82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4.2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82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4.2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82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4.2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82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4.2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82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4.2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82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4.2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82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4.2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82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4.2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82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4.2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82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4.2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82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4.2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82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4.2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82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4.2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82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4.2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82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4.2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82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4.2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82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4.2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82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4.2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82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4.2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82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4.2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82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4.2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82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4.2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82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4.2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82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4.2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82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4.2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82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4.2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82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4.2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82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4.2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82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4.2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82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4.2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82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4.2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82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4.2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82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4.2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82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4.2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82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4.2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82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4.2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82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4.2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82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4.2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82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4.2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82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4.2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82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4.2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82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4.2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82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4.2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82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4.2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82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4.2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82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4.2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82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4.2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82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4.2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82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4.2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82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4.2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82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4.2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82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4.2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82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4.2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82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4.2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82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4.2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82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4.2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82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4.2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82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4.2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82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4.2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82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4.2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82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4.2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82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4.2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82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4.2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82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4.2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82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4.2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82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4.2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82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4.2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82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4.2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82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4.2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82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4.2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82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4.2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82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4.2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82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4.2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82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4.2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82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4.2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82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4.2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82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4.2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82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4.2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82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4.2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82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4.2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82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4.2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82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4.2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82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4.2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82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4.2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82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4.2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82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4.2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82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4.2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82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4.2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82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4.2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82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4.2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82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4.2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82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4.2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82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4.2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82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4.2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82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4.2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82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4.2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82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4.2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82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4.2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82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4.2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82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4.2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82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4.2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82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4.2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82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4.2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82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4.2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82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4.2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82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4.2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82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4.2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82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4.2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82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4.2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82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4.2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82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4.2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82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4.2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82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4.2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82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4.2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82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4.2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82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4.2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82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4.2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82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4.2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82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4.2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82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4.2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82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4.2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82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4.2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82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4.2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82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4.2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82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4.2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82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4.2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82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4.2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82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4.2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82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4.2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82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4.2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82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4.2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82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4.2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82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4.2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82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4.2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82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4.2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82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4.2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82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4.2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82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4.2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82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4.2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82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4.2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82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4.2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82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4.2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82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4.2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82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4.2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82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4.2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82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4.2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82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4.2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82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4.2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82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4.2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82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4.2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82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4.2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82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4.2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82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4.2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82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4.2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82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4.2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82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4.2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82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4.2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82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4.2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82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4.2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82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4.2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82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4.2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82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4.2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82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4.2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82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4.2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82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4.2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82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4.2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82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4.2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82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4.2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82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4.2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82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4.2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82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4.2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82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4.2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82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4.2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82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4.2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82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4.2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82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4.2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82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4.2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82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4.2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82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4.2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82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4.2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82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4.2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82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4.2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82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4.2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82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4.2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82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4.2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82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4.2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82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4.2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82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4.2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82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4.2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82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4.2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82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4.2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82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4.2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82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4.2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82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4.2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82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4.2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82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4.2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82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4.2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82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4.2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82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4.2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82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4.2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82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4.2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82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4.2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82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4.2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82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4.2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82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4.2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82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4.2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82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4.2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82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4.2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82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4.2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82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4.2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82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4.2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82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4.2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82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4.2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82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4.2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82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4.2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82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4.2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82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4.2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82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4.2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82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4.2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82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4.2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82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4.2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82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4.2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82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4.2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82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4.2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82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4.2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82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4.2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82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4.2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82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4.2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82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4.2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82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4.2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82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4.2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82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4.2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82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4.2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82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4.2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82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4.2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82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4.2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82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4.2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82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4.2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82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4.2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82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4.2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82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4.2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82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4.2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82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4.2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82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4.2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82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4.2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82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4.2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82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4.2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82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4.2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82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4.2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82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4.2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82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4.2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82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4.2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82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4.2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82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4.2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82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4.2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82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4.2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82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4.2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82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4.2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82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4.2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82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4.2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82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4.2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82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4.2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82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autoFilter ref="$A$1:$P$137">
    <filterColumn colId="0">
      <filters>
        <filter val="3.01.01.07.05.0001"/>
        <filter val="3.01.01.07.05.0002"/>
        <filter val="3.01.01.07.01.0055"/>
        <filter val="3.01.01.07.01.0054"/>
        <filter val="3.01.01.07.01.0057"/>
        <filter val="3.01.01.07.01.0056"/>
        <filter val="3.01.01.07.01.0059"/>
        <filter val="3.01.01.07.01.0062"/>
        <filter val="3.01.01.07.01.0061"/>
        <filter val="3.01.01.07.01.0064"/>
        <filter val="3.01.01.07.01.0063"/>
        <filter val="3.01.01.07.04.0001"/>
        <filter val="3.01.01.07.01.0066"/>
        <filter val="3.01.01.07.01.0065"/>
        <filter val="3.01.01.07.01.0068"/>
        <filter val="3.01.01.07.01.0100"/>
        <filter val="3.01.01.07.01.0067"/>
        <filter val="3.01.01.07.01.0071"/>
        <filter val="3.01.01.07"/>
        <filter val="3.01.01.07.01.0073"/>
        <filter val="3.01.01.07.01.0072"/>
        <filter val="3.01.01.07.01.0075"/>
        <filter val="3.01.01.07.01.0074"/>
        <filter val="3.01.01.07.05.0003"/>
        <filter val="3.01.01.07.01.0037"/>
        <filter val="3.01.01.07.03.0011"/>
        <filter val="3.01.01.07.01.0036"/>
        <filter val="3.01.01.07.01.0039"/>
        <filter val="3.01.01.07.03.0004"/>
        <filter val="3.01.01.07.03.0002"/>
        <filter val="3.01.01.07.03.0001"/>
        <filter val="3.01.01.07.01.0040"/>
        <filter val="3.01.01.07.03.0008"/>
        <filter val="3.01.01.07.01.0042"/>
        <filter val="3.01.01.07.01.0041"/>
        <filter val="3.01.01.07.01.0044"/>
        <filter val="3.01.01.07.01.0043"/>
        <filter val="3.01.01.07.01.0045"/>
        <filter val="3.01.01.07.01.0048"/>
        <filter val="3.01.01.07.01.0049"/>
        <filter val="3.01.01.07.01.0051"/>
        <filter val="3.01.01.07.01.0050"/>
        <filter val="3.01.01.07.01.0052"/>
        <filter val="3.01.01.07.01.0019"/>
        <filter val="3.01.01.07.01.0099"/>
        <filter val="3.01.01.07.01.0098"/>
        <filter val="3.01.01.07.01.0013"/>
        <filter val="3.01.01.07.01.0012"/>
        <filter val="3.01.01.07.01.0029"/>
        <filter val="3.01.01.07.01.0024"/>
        <filter val="3.01.01.07.01.0026"/>
        <filter val="3.01.01.07.03.0015"/>
        <filter val="3.01.01.07.03.0012"/>
        <filter val="3.01.01.07.03.0019"/>
        <filter val="3.01.01.07.01.0030"/>
        <filter val="3.01.01.07.01.0076"/>
        <filter val="3.01.01.07.01.0080"/>
        <filter val="3.01.01.07.01.0082"/>
        <filter val="3.01.01.07.01.0081"/>
        <filter val="3.01.01.07.01.0084"/>
        <filter val="3.01.01.07.01.0086"/>
        <filter val="3.01.01.07.01.0007"/>
        <filter val="3.01.01.07.01.0009"/>
        <filter val="3.01.01.07.01"/>
        <filter val="3.01.01.07.03"/>
        <filter val="3.01.01.07.01.0088"/>
        <filter val="3.01.01.07.04.0002"/>
        <filter val="3.01.01.07.04.0003"/>
        <filter val="3.01.01.07.01.0089"/>
        <filter val="3.01.01.07.01.0003"/>
        <filter val="3.01.01.07.01.0091"/>
        <filter val="3.01.01.07.01.0093"/>
        <filter val="3.01.01.07.01.0095"/>
        <filter val="3.01.01.07.01.0094"/>
        <filter val="3.01.01.07.01.0097"/>
        <filter val="3.01.01.07.01.0096"/>
        <filter val="3.01.01.07.04"/>
        <filter val="3.01.01.07.05"/>
      </filters>
    </filterColumn>
    <sortState ref="A1:P137">
      <sortCondition ref="A1:A137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2"/>
  <cols>
    <col customWidth="1" min="1" max="1" width="30.5"/>
    <col customWidth="1" min="2" max="26" width="8.63"/>
  </cols>
  <sheetData>
    <row r="1" ht="14.25" customHeight="1">
      <c r="A1" s="20" t="s">
        <v>631</v>
      </c>
    </row>
    <row r="2" ht="14.25" customHeight="1">
      <c r="A2" s="257"/>
    </row>
    <row r="3" ht="14.25" customHeight="1">
      <c r="A3" s="257"/>
    </row>
    <row r="4" ht="14.25" customHeight="1">
      <c r="A4" s="257"/>
    </row>
    <row r="5" ht="14.25" customHeight="1">
      <c r="A5" s="257"/>
    </row>
    <row r="6" ht="14.25" customHeight="1">
      <c r="A6" s="257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2"/>
  <cols>
    <col customWidth="1" min="1" max="1" width="8.63"/>
    <col customWidth="1" min="2" max="2" width="40.13"/>
    <col customWidth="1" min="3" max="26" width="8.63"/>
  </cols>
  <sheetData>
    <row r="1" ht="14.25" customHeight="1">
      <c r="B1" s="20" t="s">
        <v>635</v>
      </c>
    </row>
    <row r="2" ht="14.25" customHeight="1">
      <c r="A2" s="258" t="b">
        <v>0</v>
      </c>
      <c r="B2" s="20" t="s">
        <v>636</v>
      </c>
    </row>
    <row r="3" ht="14.25" customHeight="1">
      <c r="A3" s="258" t="b">
        <v>0</v>
      </c>
      <c r="B3" s="20" t="s">
        <v>638</v>
      </c>
    </row>
    <row r="4" ht="14.25" customHeight="1">
      <c r="A4" s="258" t="b">
        <v>0</v>
      </c>
      <c r="B4" s="20" t="s">
        <v>640</v>
      </c>
    </row>
    <row r="5" ht="14.25" customHeight="1">
      <c r="A5" s="258" t="b">
        <v>0</v>
      </c>
      <c r="B5" s="20" t="s">
        <v>642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